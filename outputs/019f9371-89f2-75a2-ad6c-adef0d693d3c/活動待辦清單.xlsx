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fdf7ed8bec49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類統計" sheetId="1" r:id="R5b0ebaa4f9c04b51"/>
    <x:sheet xmlns:r="http://schemas.openxmlformats.org/officeDocument/2006/relationships" name="使用說明" sheetId="2" r:id="R0c985fbf9c3e4397"/>
    <x:sheet xmlns:r="http://schemas.openxmlformats.org/officeDocument/2006/relationships" name="執行清單" sheetId="3" r:id="R1aff026618814c0d"/>
    <x:sheet xmlns:r="http://schemas.openxmlformats.org/officeDocument/2006/relationships" name="來源說明" sheetId="4" r:id="Raf6c3ca863c14a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8"/>
      <x:color rgb="FFFFFFFF"/>
      <x:name val="Carlito"/>
    </x:font>
    <x:font>
      <x:b/>
      <x:sz val="11"/>
      <x:color rgb="FF7C2D12"/>
      <x:name val="Carlito"/>
    </x:font>
    <x:font>
      <x:b/>
      <x:sz val="16"/>
      <x:color rgb="FFE8610A"/>
      <x:name val="Carlito"/>
    </x:font>
    <x:font>
      <x:b/>
      <x:sz val="11"/>
      <x:color rgb="FFFFFFFF"/>
      <x:name val="Carlito"/>
    </x:font>
    <x:font>
      <x:sz val="11"/>
      <x:color rgb="FF7C2D12"/>
      <x:name val="Carlito"/>
    </x:font>
    <x:font>
      <x:i/>
      <x:sz val="11"/>
      <x:color rgb="FF4B5563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1717"/>
      </x:patternFill>
    </x:fill>
    <x:fill>
      <x:patternFill patternType="solid">
        <x:fgColor rgb="FFFFF3EA"/>
      </x:patternFill>
    </x:fill>
    <x:fill>
      <x:patternFill patternType="solid">
        <x:fgColor rgb="FFE8610A"/>
      </x:patternFill>
    </x:fill>
    <x:fill>
      <x:patternFill patternType="solid">
        <x:fgColor rgb="FFFFF7ED"/>
      </x:patternFill>
    </x:fill>
    <x:fill>
      <x:patternFill patternType="solid">
        <x:fgColor rgb="FFF3F4F6"/>
      </x:patternFill>
    </x:fill>
  </x:fills>
  <x:borders count="14">
    <x:border/>
    <x:border>
      <x:left style="thin">
        <x:color rgb="FFE8610A"/>
      </x:left>
      <x:top style="thin">
        <x:color rgb="FFE8610A"/>
      </x:top>
    </x:border>
    <x:border>
      <x:right style="thin">
        <x:color rgb="FFE8610A"/>
      </x:right>
      <x:top style="thin">
        <x:color rgb="FFE8610A"/>
      </x:top>
    </x:border>
    <x:border>
      <x:left style="thin">
        <x:color rgb="FFE8610A"/>
      </x:left>
      <x:bottom style="thin">
        <x:color rgb="FFE8610A"/>
      </x:bottom>
    </x:border>
    <x:border>
      <x:right style="thin">
        <x:color rgb="FFE8610A"/>
      </x:right>
      <x:bottom style="thin">
        <x:color rgb="FFE8610A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</x:borders>
  <x:cellStyleXfs count="1">
    <x:xf numFmtId="0" fontId="0" fillId="0" borderId="0"/>
  </x:cellStyleXfs>
  <x:cellXfs count="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2" fillId="3" borderId="1" xfId="0" applyNumberFormat="1" applyFont="1" applyFill="1" applyBorder="1"/>
    <x:xf numFmtId="0" fontId="2" fillId="3" borderId="3" xfId="0" applyNumberFormat="1" applyFont="1" applyFill="1" applyBorder="1"/>
    <x:xf numFmtId="0" fontId="3" fillId="3" borderId="2" xfId="0" applyNumberFormat="1" applyFont="1" applyFill="1" applyBorder="1"/>
    <x:xf numFmtId="0" fontId="3" fillId="3" borderId="4" xfId="0" applyNumberFormat="1" applyFont="1" applyFill="1" applyBorder="1"/>
    <x:xf numFmtId="0" fontId="3" fillId="3" borderId="2" xfId="0" applyNumberFormat="1" applyFont="1" applyFill="1" applyBorder="1" applyAlignment="1">
      <x:alignment horizontal="right"/>
    </x:xf>
    <x:xf numFmtId="0" fontId="3" fillId="3" borderId="4" xfId="0" applyNumberFormat="1" applyFont="1" applyFill="1" applyBorder="1" applyAlignment="1">
      <x:alignment horizontal="right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7" xfId="0" applyNumberFormat="1" applyFont="1" applyFill="1" applyBorder="1" applyAlignment="1">
      <x:alignment horizontal="center" vertical="top" wrapText="1"/>
    </x:xf>
    <x:xf numFmtId="0" fontId="0" fillId="0" borderId="9" xfId="0" applyNumberFormat="1" applyFont="1" applyFill="1" applyBorder="1" applyAlignment="1">
      <x:alignment horizontal="center" vertical="top" wrapText="1"/>
    </x:xf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/>
    </x:xf>
    <x:xf numFmtId="0" fontId="0" fillId="5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 applyAlignment="1">
      <x:alignment horizontal="center" vertical="top" wrapText="1"/>
    </x:xf>
    <x:xf numFmtId="200" fontId="0" fillId="5" borderId="0" xfId="0" applyNumberFormat="1" applyFont="1" applyFill="1" applyBorder="1" applyAlignment="1">
      <x:alignment vertical="top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dabcbd15a64572" /><Relationship Type="http://schemas.openxmlformats.org/officeDocument/2006/relationships/theme" Target="/xl/theme/theme1.xml" Id="Rf0dc8476957047ca" /><Relationship Type="http://schemas.openxmlformats.org/officeDocument/2006/relationships/sharedStrings" Target="/xl/sharedStrings.xml" Id="R186c69aafd504ace" /><Relationship Type="http://schemas.openxmlformats.org/officeDocument/2006/relationships/worksheet" Target="/xl/worksheets/sheet1.xml" Id="R5b0ebaa4f9c04b51" /><Relationship Type="http://schemas.openxmlformats.org/officeDocument/2006/relationships/worksheet" Target="/xl/worksheets/sheet2.xml" Id="R0c985fbf9c3e4397" /><Relationship Type="http://schemas.openxmlformats.org/officeDocument/2006/relationships/worksheet" Target="/xl/worksheets/sheet3.xml" Id="R1aff026618814c0d" /><Relationship Type="http://schemas.openxmlformats.org/officeDocument/2006/relationships/worksheet" Target="/xl/worksheets/sheet4.xml" Id="Raf6c3ca863c14ac3" /></Relationships>
</file>

<file path=xl/tables/table1.xml><?xml version="1.0" encoding="utf-8"?>
<x:table xmlns:x="http://schemas.openxmlformats.org/spreadsheetml/2006/main" id="1" name="ActivityTasks" displayName="ActivityTasks" ref="A4:R157" headerRowCount="1" totalsRowCount="0" totalsRowShown="0">
  <x:autoFilter ref="A4:R157"/>
  <x:tableColumns count="18">
    <x:tableColumn id="1" name="狀態"/>
    <x:tableColumn id="2" name="適用活動"/>
    <x:tableColumn id="3" name="排序"/>
    <x:tableColumn id="4" name="執行階段"/>
    <x:tableColumn id="5" name="工作分類"/>
    <x:tableColumn id="6" name="適用性"/>
    <x:tableColumn id="7" name="事項"/>
    <x:tableColumn id="8" name="完成時機"/>
    <x:tableColumn id="9" name="預設角色"/>
    <x:tableColumn id="10" name="負責人"/>
    <x:tableColumn id="11" name="預定完成日"/>
    <x:tableColumn id="12" name="執行與完成標準"/>
    <x:tableColumn id="13" name="完成證明"/>
    <x:tableColumn id="14" name="證明連結"/>
    <x:tableColumn id="15" name="覆核角色"/>
    <x:tableColumn id="16" name="覆核結果"/>
    <x:tableColumn id="17" name="不適用處理"/>
    <x:tableColumn id="18" name="延遲影響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6a53b02fa1a14a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2" hidden="0" customWidth="1"/>
    <x:col min="3" max="3" width="4" hidden="0" customWidth="1"/>
    <x:col min="4" max="4" width="20" hidden="0" customWidth="1"/>
    <x:col min="5" max="5" width="12" hidden="0" customWidth="1"/>
  </x:cols>
  <x:sheetData>
    <x:row r="1" ht="36" customHeight="1">
      <x:c r="A1" s="3" t="str">
        <x:v>活動標準待辦｜分類統計</x:v>
      </x:c>
      <x:c r="B1" s="3"/>
      <x:c r="C1" s="3"/>
      <x:c r="D1" s="3"/>
      <x:c r="E1" s="3"/>
      <x:c r="F1" s="3"/>
    </x:row>
    <x:row r="2">
      <x:c r="A2" s="9" t="str">
        <x:v>活動類型數</x:v>
      </x:c>
      <x:c r="B2" s="13" t="n">
        <x:f>COUNTA(A6:A15)</x:f>
        <x:v>10</x:v>
      </x:c>
    </x:row>
    <x:row r="3">
      <x:c r="A3" s="10" t="str">
        <x:v>待辦總數</x:v>
      </x:c>
      <x:c r="B3" s="14" t="n">
        <x:f>COUNTA('執行清單'!$G$5:$G$157)</x:f>
        <x:v>153</x:v>
      </x:c>
    </x:row>
    <x:row r="5">
      <x:c r="A5" s="17" t="str">
        <x:v>活動類型</x:v>
      </x:c>
      <x:c r="B5" s="17" t="str">
        <x:v>待辦數</x:v>
      </x:c>
      <x:c r="D5" s="17" t="str">
        <x:v>工作分類</x:v>
      </x:c>
      <x:c r="E5" s="17" t="str">
        <x:v>待辦數</x:v>
      </x:c>
    </x:row>
    <x:row r="6">
      <x:c r="A6" s="18" t="str">
        <x:v>研討會／論壇</x:v>
      </x:c>
      <x:c r="B6" s="19" t="n">
        <x:v>88</x:v>
      </x:c>
      <x:c r="D6" s="18" t="str">
        <x:v>專案統籌</x:v>
      </x:c>
      <x:c r="E6" s="19" t="n">
        <x:f>COUNTIF('執行清單'!$E$5:$E$157,D6)</x:f>
        <x:v>21</x:v>
      </x:c>
    </x:row>
    <x:row r="7">
      <x:c r="A7" s="20" t="str">
        <x:v>一般會議／審查會</x:v>
      </x:c>
      <x:c r="B7" s="21" t="n">
        <x:v>68</x:v>
      </x:c>
      <x:c r="D7" s="20" t="str">
        <x:v>現場佈置</x:v>
      </x:c>
      <x:c r="E7" s="21" t="n">
        <x:f>COUNTIF('執行清單'!$E$5:$E$157,D7)</x:f>
        <x:v>8</x:v>
      </x:c>
    </x:row>
    <x:row r="8">
      <x:c r="A8" s="20" t="str">
        <x:v>教育訓練／工作坊</x:v>
      </x:c>
      <x:c r="B8" s="21" t="n">
        <x:v>76</x:v>
      </x:c>
      <x:c r="D8" s="20" t="str">
        <x:v>燈光音響</x:v>
      </x:c>
      <x:c r="E8" s="21" t="n">
        <x:f>COUNTIF('執行清單'!$E$5:$E$157,D8)</x:f>
        <x:v>4</x:v>
      </x:c>
    </x:row>
    <x:row r="9">
      <x:c r="A9" s="20" t="str">
        <x:v>記者會／媒體活動</x:v>
      </x:c>
      <x:c r="B9" s="21" t="n">
        <x:v>65</x:v>
      </x:c>
      <x:c r="D9" s="20" t="str">
        <x:v>直播作業</x:v>
      </x:c>
      <x:c r="E9" s="21" t="n">
        <x:f>COUNTIF('執行清單'!$E$5:$E$157,D9)</x:f>
        <x:v>9</x:v>
      </x:c>
    </x:row>
    <x:row r="10">
      <x:c r="A10" s="20" t="str">
        <x:v>典禮／頒獎／揭牌</x:v>
      </x:c>
      <x:c r="B10" s="21" t="n">
        <x:v>70</x:v>
      </x:c>
      <x:c r="D10" s="20" t="str">
        <x:v>講師溝通</x:v>
      </x:c>
      <x:c r="E10" s="21" t="n">
        <x:f>COUNTIF('執行清單'!$E$5:$E$157,D10)</x:f>
        <x:v>11</x:v>
      </x:c>
    </x:row>
    <x:row r="11">
      <x:c r="A11" s="20" t="str">
        <x:v>展覽／攤位／園遊會</x:v>
      </x:c>
      <x:c r="B11" s="21" t="n">
        <x:v>73</x:v>
      </x:c>
      <x:c r="D11" s="20" t="str">
        <x:v>賓客接待</x:v>
      </x:c>
      <x:c r="E11" s="21" t="n">
        <x:f>COUNTIF('執行清單'!$E$5:$E$157,D11)</x:f>
        <x:v>16</x:v>
      </x:c>
    </x:row>
    <x:row r="12">
      <x:c r="A12" s="20" t="str">
        <x:v>巡迴宣導／說明會</x:v>
      </x:c>
      <x:c r="B12" s="21" t="n">
        <x:v>75</x:v>
      </x:c>
      <x:c r="D12" s="20" t="str">
        <x:v>週邊製作</x:v>
      </x:c>
      <x:c r="E12" s="21" t="n">
        <x:f>COUNTIF('執行清單'!$E$5:$E$157,D12)</x:f>
        <x:v>15</x:v>
      </x:c>
    </x:row>
    <x:row r="13">
      <x:c r="A13" s="20" t="str">
        <x:v>線上會議／直播講座</x:v>
      </x:c>
      <x:c r="B13" s="21" t="n">
        <x:v>76</x:v>
      </x:c>
      <x:c r="D13" s="20" t="str">
        <x:v>餐點安排</x:v>
      </x:c>
      <x:c r="E13" s="21" t="n">
        <x:f>COUNTIF('執行清單'!$E$5:$E$157,D13)</x:f>
        <x:v>2</x:v>
      </x:c>
    </x:row>
    <x:row r="14">
      <x:c r="A14" s="20" t="str">
        <x:v>跨區多梯次活動</x:v>
      </x:c>
      <x:c r="B14" s="21" t="n">
        <x:v>59</x:v>
      </x:c>
      <x:c r="D14" s="20" t="str">
        <x:v>影音製作</x:v>
      </x:c>
      <x:c r="E14" s="21" t="n">
        <x:f>COUNTIF('執行清單'!$E$5:$E$157,D14)</x:f>
        <x:v>2</x:v>
      </x:c>
    </x:row>
    <x:row r="15">
      <x:c r="A15" s="22" t="str">
        <x:v>體驗／互動活動</x:v>
      </x:c>
      <x:c r="B15" s="23" t="n">
        <x:v>57</x:v>
      </x:c>
      <x:c r="D15" s="20" t="str">
        <x:v>專業人員</x:v>
      </x:c>
      <x:c r="E15" s="21" t="n">
        <x:f>COUNTIF('執行清單'!$E$5:$E$157,D15)</x:f>
        <x:v>7</x:v>
      </x:c>
    </x:row>
    <x:row r="16">
      <x:c r="D16" s="20" t="str">
        <x:v>後勤作業</x:v>
      </x:c>
      <x:c r="E16" s="21" t="n">
        <x:f>COUNTIF('執行清單'!$E$5:$E$157,D16)</x:f>
        <x:v>28</x:v>
      </x:c>
    </x:row>
    <x:row r="17">
      <x:c r="D17" s="20" t="str">
        <x:v>媒體露出</x:v>
      </x:c>
      <x:c r="E17" s="21" t="n">
        <x:f>COUNTIF('執行清單'!$E$5:$E$157,D17)</x:f>
        <x:v>12</x:v>
      </x:c>
    </x:row>
    <x:row r="18">
      <x:c r="D18" s="20" t="str">
        <x:v>攤位聯絡</x:v>
      </x:c>
      <x:c r="E18" s="21" t="n">
        <x:f>COUNTIF('執行清單'!$E$5:$E$157,D18)</x:f>
        <x:v>9</x:v>
      </x:c>
    </x:row>
    <x:row r="19">
      <x:c r="D19" s="22" t="str">
        <x:v>結案成果</x:v>
      </x:c>
      <x:c r="E19" s="23" t="n">
        <x:f>COUNTIF('執行清單'!$E$5:$E$157,D19)</x:f>
        <x:v>9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46" hidden="0" customWidth="1"/>
    <x:col min="3" max="3" width="28" hidden="0" customWidth="1"/>
    <x:col min="4" max="4" width="40" hidden="0" customWidth="1"/>
    <x:col min="5" max="5" width="34" hidden="0" customWidth="1"/>
  </x:cols>
  <x:sheetData>
    <x:row r="1" ht="36" customHeight="1">
      <x:c r="A1" s="3" t="str">
        <x:v>活動標準待辦｜同仁使用規則</x:v>
      </x:c>
      <x:c r="B1" s="3"/>
      <x:c r="C1" s="3"/>
      <x:c r="D1" s="3"/>
      <x:c r="E1" s="3"/>
    </x:row>
    <x:row r="3">
      <x:c r="A3" s="17" t="str">
        <x:v>步驟</x:v>
      </x:c>
      <x:c r="B3" s="17" t="str">
        <x:v>執行要求</x:v>
      </x:c>
      <x:c r="C3" s="17" t="str">
        <x:v>填寫欄位</x:v>
      </x:c>
      <x:c r="D3" s="17" t="str">
        <x:v>完成條件</x:v>
      </x:c>
      <x:c r="E3" s="17" t="str">
        <x:v>主管查核</x:v>
      </x:c>
    </x:row>
    <x:row r="4">
      <x:c r="A4" s="45" t="n">
        <x:v>1</x:v>
      </x:c>
      <x:c r="B4" s="37" t="str">
        <x:v>建立案件時，篩選「全部活動」及本案適用活動，再依排序執行。</x:v>
      </x:c>
      <x:c r="C4" s="37" t="str">
        <x:v>適用活動、排序</x:v>
      </x:c>
      <x:c r="D4" s="37" t="str">
        <x:v>本案應執行的工作已確認。</x:v>
      </x:c>
      <x:c r="E4" s="38" t="str">
        <x:v>PM 確認未漏掉共通工作。</x:v>
      </x:c>
    </x:row>
    <x:row r="5">
      <x:c r="A5" s="46" t="n">
        <x:v>2</x:v>
      </x:c>
      <x:c r="B5" s="40" t="str">
        <x:v>每項工作指定一位負責人與預定完成日。</x:v>
      </x:c>
      <x:c r="C5" s="40" t="str">
        <x:v>負責人、預定完成日</x:v>
      </x:c>
      <x:c r="D5" s="40" t="str">
        <x:v>不可只填部門或群組名稱。</x:v>
      </x:c>
      <x:c r="E5" s="41" t="str">
        <x:v>關鍵事項不得無負責人。</x:v>
      </x:c>
    </x:row>
    <x:row r="6">
      <x:c r="A6" s="46" t="n">
        <x:v>3</x:v>
      </x:c>
      <x:c r="B6" s="40" t="str">
        <x:v>依執行標準完成工作，並留下可追溯證明。</x:v>
      </x:c>
      <x:c r="C6" s="40" t="str">
        <x:v>狀態、證明連結</x:v>
      </x:c>
      <x:c r="D6" s="40" t="str">
        <x:v>證明可由下一位同仁或主管開啟查核。</x:v>
      </x:c>
      <x:c r="E6" s="41" t="str">
        <x:v>抽查內容、版本與日期。</x:v>
      </x:c>
    </x:row>
    <x:row r="7">
      <x:c r="A7" s="46" t="n">
        <x:v>4</x:v>
      </x:c>
      <x:c r="B7" s="40" t="str">
        <x:v>必做事項原則不得略過；條件式事項不適用時須說明。</x:v>
      </x:c>
      <x:c r="C7" s="40" t="str">
        <x:v>不適用原因</x:v>
      </x:c>
      <x:c r="D7" s="40" t="str">
        <x:v>原因具體，且已由 PM 確認。</x:v>
      </x:c>
      <x:c r="E7" s="41" t="str">
        <x:v>必做排除須主管核准。</x:v>
      </x:c>
    </x:row>
    <x:row r="8">
      <x:c r="A8" s="46" t="n">
        <x:v>5</x:v>
      </x:c>
      <x:c r="B8" s="40" t="str">
        <x:v>關鍵事項完成後，由指定覆核角色確認。</x:v>
      </x:c>
      <x:c r="C8" s="40" t="str">
        <x:v>覆核結果</x:v>
      </x:c>
      <x:c r="D8" s="40" t="str">
        <x:v>填寫通過、退回或不適用。</x:v>
      </x:c>
      <x:c r="E8" s="41" t="str">
        <x:v>退回事項須重新完成。</x:v>
      </x:c>
    </x:row>
    <x:row r="9">
      <x:c r="A9" s="47" t="n">
        <x:v>6</x:v>
      </x:c>
      <x:c r="B9" s="43" t="str">
        <x:v>活動結束後，完成撤場、驗收、核銷及檢討才可結案。</x:v>
      </x:c>
      <x:c r="C9" s="43" t="str">
        <x:v>狀態、證明連結、覆核結果</x:v>
      </x:c>
      <x:c r="D9" s="43" t="str">
        <x:v>所有必做事項完成或經核准排除。</x:v>
      </x:c>
      <x:c r="E9" s="44" t="str">
        <x:v>PM／主管完成結案查核。</x:v>
      </x:c>
    </x:row>
    <x:row r="11">
      <x:c r="A11" s="49" t="str">
        <x:v>狀態建議：未開始／進行中／待確認／已完成／不適用；「已完成」必須同時具備完成證明，關鍵事項還須完成覆核。</x:v>
      </x:c>
      <x:c r="B11" s="49"/>
      <x:c r="C11" s="49"/>
      <x:c r="D11" s="49"/>
      <x:c r="E11" s="49"/>
    </x:row>
  </x:sheetData>
  <x:mergeCells>
    <x:mergeCell ref="A1:E1"/>
    <x:mergeCell ref="A11:E1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3" hidden="0" customWidth="1"/>
    <x:col min="3" max="3" width="8" hidden="0" customWidth="1"/>
    <x:col min="4" max="4" width="14" hidden="0" customWidth="1"/>
    <x:col min="5" max="5" width="15" hidden="0" customWidth="1"/>
    <x:col min="6" max="6" width="10" hidden="0" customWidth="1"/>
    <x:col min="7" max="7" width="23" hidden="0" customWidth="1"/>
    <x:col min="8" max="8" width="15" hidden="0" customWidth="1"/>
    <x:col min="9" max="9" width="12" hidden="0" customWidth="1"/>
    <x:col min="10" max="10" width="12" hidden="0" customWidth="1"/>
    <x:col min="11" max="11" width="15" hidden="0" customWidth="1"/>
    <x:col min="12" max="12" width="52" hidden="0" customWidth="1"/>
    <x:col min="13" max="13" width="30" hidden="0" customWidth="1"/>
    <x:col min="14" max="14" width="28" hidden="0" customWidth="1"/>
    <x:col min="15" max="15" width="12" hidden="0" customWidth="1"/>
    <x:col min="16" max="16" width="12" hidden="0" customWidth="1"/>
    <x:col min="17" max="17" width="38" hidden="0" customWidth="1"/>
    <x:col min="18" max="18" width="28" hidden="0" customWidth="1"/>
  </x:cols>
  <x:sheetData>
    <x:row r="1" ht="36" customHeight="1">
      <x:c r="A1" s="3" t="str">
        <x:v>活動標準待辦清單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>
      <x:c r="A2" s="50" t="str">
        <x:v>共 153 項不重複標準工作；依適用活動、時間及階段排列，請填寫狀態、負責人、日期、證明與覆核結果。</x:v>
      </x:c>
      <x:c r="B2" s="50"/>
      <x:c r="C2" s="50"/>
      <x:c r="D2" s="50"/>
      <x:c r="E2" s="50"/>
      <x:c r="F2" s="50"/>
      <x:c r="G2" s="50"/>
      <x:c r="H2" s="50"/>
      <x:c r="I2" s="50"/>
      <x:c r="J2" s="50"/>
      <x:c r="K2" s="50"/>
      <x:c r="L2" s="50"/>
      <x:c r="M2" s="50"/>
      <x:c r="N2" s="50"/>
      <x:c r="O2" s="50"/>
      <x:c r="P2" s="50"/>
      <x:c r="Q2" s="50"/>
      <x:c r="R2" s="50"/>
    </x:row>
    <x:row r="4">
      <x:c r="A4" t="str">
        <x:v>狀態</x:v>
      </x:c>
      <x:c r="B4" t="str">
        <x:v>適用活動</x:v>
      </x:c>
      <x:c r="C4" t="str">
        <x:v>排序</x:v>
      </x:c>
      <x:c r="D4" t="str">
        <x:v>執行階段</x:v>
      </x:c>
      <x:c r="E4" t="str">
        <x:v>工作分類</x:v>
      </x:c>
      <x:c r="F4" t="str">
        <x:v>適用性</x:v>
      </x:c>
      <x:c r="G4" t="str">
        <x:v>事項</x:v>
      </x:c>
      <x:c r="H4" t="str">
        <x:v>完成時機</x:v>
      </x:c>
      <x:c r="I4" t="str">
        <x:v>預設角色</x:v>
      </x:c>
      <x:c r="J4" t="str">
        <x:v>負責人</x:v>
      </x:c>
      <x:c r="K4" t="str">
        <x:v>預定完成日</x:v>
      </x:c>
      <x:c r="L4" t="str">
        <x:v>執行與完成標準</x:v>
      </x:c>
      <x:c r="M4" t="str">
        <x:v>完成證明</x:v>
      </x:c>
      <x:c r="N4" t="str">
        <x:v>證明連結</x:v>
      </x:c>
      <x:c r="O4" t="str">
        <x:v>覆核角色</x:v>
      </x:c>
      <x:c r="P4" t="str">
        <x:v>覆核結果</x:v>
      </x:c>
      <x:c r="Q4" t="str">
        <x:v>不適用處理</x:v>
      </x:c>
      <x:c r="R4" t="str">
        <x:v>延遲影響</x:v>
      </x:c>
    </x:row>
    <x:row r="5">
      <x:c r="A5" s="53" t="str"/>
      <x:c r="B5" s="51" t="str">
        <x:v>全部活動</x:v>
      </x:c>
      <x:c r="C5" s="55" t="n">
        <x:v>1</x:v>
      </x:c>
      <x:c r="D5" s="55" t="str">
        <x:v>立案啟動</x:v>
      </x:c>
      <x:c r="E5" s="51" t="str">
        <x:v>專案統籌</x:v>
      </x:c>
      <x:c r="F5" s="55" t="str">
        <x:v>必做</x:v>
      </x:c>
      <x:c r="G5" s="51" t="str">
        <x:v>確認活動需求與驗收標準</x:v>
      </x:c>
      <x:c r="H5" s="51" t="str">
        <x:v>活動前 12 週</x:v>
      </x:c>
      <x:c r="I5" s="55" t="str">
        <x:v>PM</x:v>
      </x:c>
      <x:c r="J5" s="53" t="str"/>
      <x:c r="K5" s="58"/>
      <x:c r="L5" s="52" t="str">
        <x:v>確認目的、對象、人數、日期、地點、預算、交付物與驗收標準，取得客戶書面確認。</x:v>
      </x:c>
      <x:c r="M5" s="52" t="str">
        <x:v>查核表、測試紀錄或核准截圖</x:v>
      </x:c>
      <x:c r="N5" s="54" t="str"/>
      <x:c r="O5" s="56" t="str">
        <x:v>PM／主管</x:v>
      </x:c>
      <x:c r="P5" s="57" t="str"/>
      <x:c r="Q5" s="52" t="str">
        <x:v>原則不得略過；確需排除時，須註明原因並取得主管核准</x:v>
      </x:c>
      <x:c r="R5" s="52" t="str">
        <x:v>核定預算與採購時程,確認場地與進撤場</x:v>
      </x:c>
    </x:row>
    <x:row r="6">
      <x:c r="A6" s="53" t="str"/>
      <x:c r="B6" s="51" t="str">
        <x:v>全部活動</x:v>
      </x:c>
      <x:c r="C6" s="55" t="n">
        <x:v>2</x:v>
      </x:c>
      <x:c r="D6" s="55" t="str">
        <x:v>立案啟動</x:v>
      </x:c>
      <x:c r="E6" s="51" t="str">
        <x:v>專案統籌</x:v>
      </x:c>
      <x:c r="F6" s="55" t="str">
        <x:v>條件式</x:v>
      </x:c>
      <x:c r="G6" s="51" t="str">
        <x:v>建立窗口清單</x:v>
      </x:c>
      <x:c r="H6" s="51" t="str">
        <x:v>活動前 12 週</x:v>
      </x:c>
      <x:c r="I6" s="55" t="str">
        <x:v>PM</x:v>
      </x:c>
      <x:c r="J6" s="53" t="str"/>
      <x:c r="K6" s="58"/>
      <x:c r="L6" s="52" t="str">
        <x:v>記錄客戶決策、執行、財務與現場窗口及聯絡方式。</x:v>
      </x:c>
      <x:c r="M6" s="52" t="str">
        <x:v>最新版清單或核准文件</x:v>
      </x:c>
      <x:c r="N6" s="54" t="str"/>
      <x:c r="O6" s="56" t="str">
        <x:v>PM</x:v>
      </x:c>
      <x:c r="P6" s="57" t="str"/>
      <x:c r="Q6" s="52" t="str">
        <x:v>不適用時填寫原因，由 PM 確認後關閉</x:v>
      </x:c>
      <x:c r="R6" s="52" t="str"/>
    </x:row>
    <x:row r="7">
      <x:c r="A7" s="53" t="str"/>
      <x:c r="B7" s="51" t="str">
        <x:v>巡迴宣導／說明會、跨區多梯次活動</x:v>
      </x:c>
      <x:c r="C7" s="55" t="n">
        <x:v>3</x:v>
      </x:c>
      <x:c r="D7" s="55" t="str">
        <x:v>立案啟動</x:v>
      </x:c>
      <x:c r="E7" s="51" t="str">
        <x:v>專案統籌</x:v>
      </x:c>
      <x:c r="F7" s="55" t="str">
        <x:v>必做</x:v>
      </x:c>
      <x:c r="G7" s="51" t="str">
        <x:v>建立場次主檔與版控</x:v>
      </x:c>
      <x:c r="H7" s="51" t="str">
        <x:v>活動前 10 週</x:v>
      </x:c>
      <x:c r="I7" s="55" t="str">
        <x:v>PM</x:v>
      </x:c>
      <x:c r="J7" s="53" t="str"/>
      <x:c r="K7" s="58"/>
      <x:c r="L7" s="52" t="str">
        <x:v>彙整各場日期、地點、窗口、版本、講者、物資與限制，統一管理差異。</x:v>
      </x:c>
      <x:c r="M7" s="52" t="str">
        <x:v>核准文件、完成截圖或可追溯紀錄</x:v>
      </x:c>
      <x:c r="N7" s="54" t="str"/>
      <x:c r="O7" s="56" t="str">
        <x:v>PM／主管</x:v>
      </x:c>
      <x:c r="P7" s="57" t="str"/>
      <x:c r="Q7" s="52" t="str">
        <x:v>原則不得略過；確需排除時，須註明原因並取得主管核准</x:v>
      </x:c>
      <x:c r="R7" s="52" t="str"/>
    </x:row>
    <x:row r="8">
      <x:c r="A8" s="53" t="str"/>
      <x:c r="B8" s="51" t="str">
        <x:v>全部活動</x:v>
      </x:c>
      <x:c r="C8" s="55" t="n">
        <x:v>4</x:v>
      </x:c>
      <x:c r="D8" s="55" t="str">
        <x:v>立案啟動</x:v>
      </x:c>
      <x:c r="E8" s="51" t="str">
        <x:v>現場佈置</x:v>
      </x:c>
      <x:c r="F8" s="55" t="str">
        <x:v>必做</x:v>
      </x:c>
      <x:c r="G8" s="51" t="str">
        <x:v>確認場地與進撤場條件</x:v>
      </x:c>
      <x:c r="H8" s="51" t="str">
        <x:v>活動前 10 週</x:v>
      </x:c>
      <x:c r="I8" s="55" t="str">
        <x:v>PM</x:v>
      </x:c>
      <x:c r="J8" s="53" t="str"/>
      <x:c r="K8" s="58"/>
      <x:c r="L8" s="52" t="str">
        <x:v>確認場地容量、平面圖、進撤場、卸貨停車、施工限制與相關費用。</x:v>
      </x:c>
      <x:c r="M8" s="52" t="str">
        <x:v>查核表、測試紀錄或核准截圖</x:v>
      </x:c>
      <x:c r="N8" s="54" t="str"/>
      <x:c r="O8" s="56" t="str">
        <x:v>PM／主管</x:v>
      </x:c>
      <x:c r="P8" s="57" t="str"/>
      <x:c r="Q8" s="52" t="str">
        <x:v>原則不得略過；確需排除時，須註明原因並取得主管核准</x:v>
      </x:c>
      <x:c r="R8" s="52" t="str">
        <x:v>完成場勘與場配圖</x:v>
      </x:c>
    </x:row>
    <x:row r="9">
      <x:c r="A9" s="53" t="str"/>
      <x:c r="B9" s="51" t="str">
        <x:v>研討會／論壇、教育訓練／工作坊、線上會議／直播講座</x:v>
      </x:c>
      <x:c r="C9" s="55" t="n">
        <x:v>5</x:v>
      </x:c>
      <x:c r="D9" s="55" t="str">
        <x:v>立案啟動</x:v>
      </x:c>
      <x:c r="E9" s="51" t="str">
        <x:v>講師溝通</x:v>
      </x:c>
      <x:c r="F9" s="55" t="str">
        <x:v>必做</x:v>
      </x:c>
      <x:c r="G9" s="51" t="str">
        <x:v>確認議程與講者</x:v>
      </x:c>
      <x:c r="H9" s="51" t="str">
        <x:v>活動前 10 週</x:v>
      </x:c>
      <x:c r="I9" s="55" t="str">
        <x:v>PM</x:v>
      </x:c>
      <x:c r="J9" s="53" t="str"/>
      <x:c r="K9" s="58"/>
      <x:c r="L9" s="52" t="str">
        <x:v>確認議程架構、講者與座長名單、邀請順序及最晚鎖定日。</x:v>
      </x:c>
      <x:c r="M9" s="52" t="str">
        <x:v>查核表、測試紀錄或核准截圖</x:v>
      </x:c>
      <x:c r="N9" s="54" t="str"/>
      <x:c r="O9" s="56" t="str">
        <x:v>PM／主管</x:v>
      </x:c>
      <x:c r="P9" s="57" t="str"/>
      <x:c r="Q9" s="52" t="str">
        <x:v>原則不得略過；確需排除時，須註明原因並取得主管核准</x:v>
      </x:c>
      <x:c r="R9" s="52" t="str"/>
    </x:row>
    <x:row r="10">
      <x:c r="A10" s="53" t="str"/>
      <x:c r="B10" s="51" t="str">
        <x:v>全部活動</x:v>
      </x:c>
      <x:c r="C10" s="55" t="n">
        <x:v>6</x:v>
      </x:c>
      <x:c r="D10" s="55" t="str">
        <x:v>立案啟動</x:v>
      </x:c>
      <x:c r="E10" s="51" t="str">
        <x:v>後勤作業</x:v>
      </x:c>
      <x:c r="F10" s="55" t="str">
        <x:v>必做</x:v>
      </x:c>
      <x:c r="G10" s="51" t="str">
        <x:v>完成分項報價</x:v>
      </x:c>
      <x:c r="H10" s="51" t="str">
        <x:v>活動前 10 週</x:v>
      </x:c>
      <x:c r="I10" s="55" t="str">
        <x:v>PM</x:v>
      </x:c>
      <x:c r="J10" s="53" t="str"/>
      <x:c r="K10" s="58"/>
      <x:c r="L10" s="52" t="str">
        <x:v>依場地、人力、設備、製作、餐飲與稅金完成分項報價。</x:v>
      </x:c>
      <x:c r="M10" s="52" t="str">
        <x:v>報價、合約、憑證或核准紀錄</x:v>
      </x:c>
      <x:c r="N10" s="54" t="str"/>
      <x:c r="O10" s="56" t="str">
        <x:v>PM／主管</x:v>
      </x:c>
      <x:c r="P10" s="57" t="str"/>
      <x:c r="Q10" s="52" t="str">
        <x:v>原則不得略過；確需排除時，須註明原因並取得主管核准</x:v>
      </x:c>
      <x:c r="R10" s="52" t="str"/>
    </x:row>
    <x:row r="11">
      <x:c r="A11" s="53" t="str"/>
      <x:c r="B11" s="51" t="str">
        <x:v>全部活動</x:v>
      </x:c>
      <x:c r="C11" s="55" t="n">
        <x:v>7</x:v>
      </x:c>
      <x:c r="D11" s="55" t="str">
        <x:v>立案啟動</x:v>
      </x:c>
      <x:c r="E11" s="51" t="str">
        <x:v>後勤作業</x:v>
      </x:c>
      <x:c r="F11" s="55" t="str">
        <x:v>必做</x:v>
      </x:c>
      <x:c r="G11" s="51" t="str">
        <x:v>核定預算與採購時程</x:v>
      </x:c>
      <x:c r="H11" s="51" t="str">
        <x:v>活動前 10 週</x:v>
      </x:c>
      <x:c r="I11" s="55" t="str">
        <x:v>PM</x:v>
      </x:c>
      <x:c r="J11" s="53" t="str"/>
      <x:c r="K11" s="58"/>
      <x:c r="L11" s="52" t="str">
        <x:v>完成成本拆解、三方詢比價或議價紀錄、稅金、付款節點、請購期限與預備金；確認不超出核定預算。</x:v>
      </x:c>
      <x:c r="M11" s="52" t="str">
        <x:v>查核表、測試紀錄或核准截圖</x:v>
      </x:c>
      <x:c r="N11" s="54" t="str"/>
      <x:c r="O11" s="56" t="str">
        <x:v>PM／主管</x:v>
      </x:c>
      <x:c r="P11" s="57" t="str"/>
      <x:c r="Q11" s="52" t="str">
        <x:v>原則不得略過；確需排除時，須註明原因並取得主管核准</x:v>
      </x:c>
      <x:c r="R11" s="52" t="str">
        <x:v>確認供應商與交期</x:v>
      </x:c>
    </x:row>
    <x:row r="12">
      <x:c r="A12" s="53" t="str"/>
      <x:c r="B12" s="51" t="str">
        <x:v>全部活動</x:v>
      </x:c>
      <x:c r="C12" s="55" t="n">
        <x:v>8</x:v>
      </x:c>
      <x:c r="D12" s="55" t="str">
        <x:v>立案啟動</x:v>
      </x:c>
      <x:c r="E12" s="51" t="str">
        <x:v>後勤作業</x:v>
      </x:c>
      <x:c r="F12" s="55" t="str">
        <x:v>必做</x:v>
      </x:c>
      <x:c r="G12" s="51" t="str">
        <x:v>確認委託方式</x:v>
      </x:c>
      <x:c r="H12" s="51" t="str">
        <x:v>活動前 10 週</x:v>
      </x:c>
      <x:c r="I12" s="55" t="str">
        <x:v>PM</x:v>
      </x:c>
      <x:c r="J12" s="53" t="str"/>
      <x:c r="K12" s="58"/>
      <x:c r="L12" s="52" t="str">
        <x:v>確認投標、議價或直接簽約及核決流程。</x:v>
      </x:c>
      <x:c r="M12" s="52" t="str">
        <x:v>查核表、測試紀錄或核准截圖</x:v>
      </x:c>
      <x:c r="N12" s="54" t="str"/>
      <x:c r="O12" s="56" t="str">
        <x:v>PM／主管</x:v>
      </x:c>
      <x:c r="P12" s="57" t="str"/>
      <x:c r="Q12" s="52" t="str">
        <x:v>原則不得略過；確需排除時，須註明原因並取得主管核准</x:v>
      </x:c>
      <x:c r="R12" s="52" t="str"/>
    </x:row>
    <x:row r="13">
      <x:c r="A13" s="53" t="str"/>
      <x:c r="B13" s="51" t="str">
        <x:v>研討會／論壇、教育訓練／工作坊、線上會議／直播講座</x:v>
      </x:c>
      <x:c r="C13" s="55" t="n">
        <x:v>9</x:v>
      </x:c>
      <x:c r="D13" s="55" t="str">
        <x:v>立案啟動</x:v>
      </x:c>
      <x:c r="E13" s="51" t="str">
        <x:v>講師溝通</x:v>
      </x:c>
      <x:c r="F13" s="55" t="str">
        <x:v>必做</x:v>
      </x:c>
      <x:c r="G13" s="51" t="str">
        <x:v>發送講者邀請</x:v>
      </x:c>
      <x:c r="H13" s="51" t="str">
        <x:v>活動前 9 週</x:v>
      </x:c>
      <x:c r="I13" s="55" t="str">
        <x:v>PM</x:v>
      </x:c>
      <x:c r="J13" s="53" t="str"/>
      <x:c r="K13" s="58"/>
      <x:c r="L13" s="52" t="str">
        <x:v>寄送正式邀請並追蹤接受、婉拒或待確認。</x:v>
      </x:c>
      <x:c r="M13" s="52" t="str">
        <x:v>寄送紀錄與收件名單</x:v>
      </x:c>
      <x:c r="N13" s="54" t="str"/>
      <x:c r="O13" s="56" t="str">
        <x:v>PM／主管</x:v>
      </x:c>
      <x:c r="P13" s="57" t="str"/>
      <x:c r="Q13" s="52" t="str">
        <x:v>原則不得略過；確需排除時，須註明原因並取得主管核准</x:v>
      </x:c>
      <x:c r="R13" s="52" t="str"/>
    </x:row>
    <x:row r="14">
      <x:c r="A14" s="53" t="str"/>
      <x:c r="B14" s="51" t="str">
        <x:v>全部活動</x:v>
      </x:c>
      <x:c r="C14" s="55" t="n">
        <x:v>10</x:v>
      </x:c>
      <x:c r="D14" s="55" t="str">
        <x:v>立案啟動</x:v>
      </x:c>
      <x:c r="E14" s="51" t="str">
        <x:v>後勤作業</x:v>
      </x:c>
      <x:c r="F14" s="55" t="str">
        <x:v>必做</x:v>
      </x:c>
      <x:c r="G14" s="51" t="str">
        <x:v>完成合約簽署</x:v>
      </x:c>
      <x:c r="H14" s="51" t="str">
        <x:v>活動前 9 週</x:v>
      </x:c>
      <x:c r="I14" s="55" t="str">
        <x:v>PM</x:v>
      </x:c>
      <x:c r="J14" s="53" t="str"/>
      <x:c r="K14" s="58"/>
      <x:c r="L14" s="52" t="str">
        <x:v>確認雙方權責、付款、取消延期、版權與驗收條款。</x:v>
      </x:c>
      <x:c r="M14" s="52" t="str">
        <x:v>報價、合約、憑證或核准紀錄</x:v>
      </x:c>
      <x:c r="N14" s="54" t="str"/>
      <x:c r="O14" s="56" t="str">
        <x:v>PM／主管</x:v>
      </x:c>
      <x:c r="P14" s="57" t="str"/>
      <x:c r="Q14" s="52" t="str">
        <x:v>原則不得略過；確需排除時，須註明原因並取得主管核准</x:v>
      </x:c>
      <x:c r="R14" s="52" t="str"/>
    </x:row>
    <x:row r="15">
      <x:c r="A15" s="53" t="str"/>
      <x:c r="B15" s="51" t="str">
        <x:v>全部活動</x:v>
      </x:c>
      <x:c r="C15" s="55" t="n">
        <x:v>11</x:v>
      </x:c>
      <x:c r="D15" s="55" t="str">
        <x:v>立案啟動</x:v>
      </x:c>
      <x:c r="E15" s="51" t="str">
        <x:v>專案統籌</x:v>
      </x:c>
      <x:c r="F15" s="55" t="str">
        <x:v>條件式</x:v>
      </x:c>
      <x:c r="G15" s="51" t="str">
        <x:v>建立進度會議</x:v>
      </x:c>
      <x:c r="H15" s="51" t="str">
        <x:v>活動前 9 週</x:v>
      </x:c>
      <x:c r="I15" s="55" t="str">
        <x:v>PM</x:v>
      </x:c>
      <x:c r="J15" s="53" t="str"/>
      <x:c r="K15" s="58"/>
      <x:c r="L15" s="52" t="str">
        <x:v>排定會議週期、固定與會者、紀錄人與待辦追蹤方式。</x:v>
      </x:c>
      <x:c r="M15" s="52" t="str">
        <x:v>核准文件、完成截圖或可追溯紀錄</x:v>
      </x:c>
      <x:c r="N15" s="54" t="str"/>
      <x:c r="O15" s="56" t="str">
        <x:v>PM</x:v>
      </x:c>
      <x:c r="P15" s="57" t="str"/>
      <x:c r="Q15" s="52" t="str">
        <x:v>不適用時填寫原因，由 PM 確認後關閉</x:v>
      </x:c>
      <x:c r="R15" s="52" t="str"/>
    </x:row>
    <x:row r="16">
      <x:c r="A16" s="53" t="str"/>
      <x:c r="B16" s="51" t="str">
        <x:v>巡迴宣導／說明會、跨區多梯次活動</x:v>
      </x:c>
      <x:c r="C16" s="55" t="n">
        <x:v>12</x:v>
      </x:c>
      <x:c r="D16" s="55" t="str">
        <x:v>規劃確認</x:v>
      </x:c>
      <x:c r="E16" s="51" t="str">
        <x:v>專案統籌</x:v>
      </x:c>
      <x:c r="F16" s="55" t="str">
        <x:v>必做</x:v>
      </x:c>
      <x:c r="G16" s="51" t="str">
        <x:v>建立場次差異表</x:v>
      </x:c>
      <x:c r="H16" s="51" t="str">
        <x:v>活動前 8 週</x:v>
      </x:c>
      <x:c r="I16" s="55" t="str">
        <x:v>PM</x:v>
      </x:c>
      <x:c r="J16" s="53" t="str"/>
      <x:c r="K16" s="58"/>
      <x:c r="L16" s="52" t="str">
        <x:v>標示講者、流程、設計、場地與人力差異。</x:v>
      </x:c>
      <x:c r="M16" s="52" t="str">
        <x:v>核准文件、完成截圖或可追溯紀錄</x:v>
      </x:c>
      <x:c r="N16" s="54" t="str"/>
      <x:c r="O16" s="56" t="str">
        <x:v>PM／主管</x:v>
      </x:c>
      <x:c r="P16" s="57" t="str"/>
      <x:c r="Q16" s="52" t="str">
        <x:v>原則不得略過；確需排除時，須註明原因並取得主管核准</x:v>
      </x:c>
      <x:c r="R16" s="52" t="str"/>
    </x:row>
    <x:row r="17">
      <x:c r="A17" s="53" t="str"/>
      <x:c r="B17" s="51" t="str">
        <x:v>教育訓練／工作坊</x:v>
      </x:c>
      <x:c r="C17" s="55" t="n">
        <x:v>13</x:v>
      </x:c>
      <x:c r="D17" s="55" t="str">
        <x:v>規劃確認</x:v>
      </x:c>
      <x:c r="E17" s="51" t="str">
        <x:v>專案統籌</x:v>
      </x:c>
      <x:c r="F17" s="55" t="str">
        <x:v>必做</x:v>
      </x:c>
      <x:c r="G17" s="51" t="str">
        <x:v>確認課綱與評量方式</x:v>
      </x:c>
      <x:c r="H17" s="51" t="str">
        <x:v>活動前 8 週</x:v>
      </x:c>
      <x:c r="I17" s="55" t="str">
        <x:v>PM</x:v>
      </x:c>
      <x:c r="J17" s="53" t="str"/>
      <x:c r="K17" s="58"/>
      <x:c r="L17" s="52" t="str">
        <x:v>把需求轉成可衡量學習目標，確認課程單元、講師、實作、課前測驗、課後評量與通過標準。</x:v>
      </x:c>
      <x:c r="M17" s="52" t="str">
        <x:v>核准文件、完成截圖或可追溯紀錄</x:v>
      </x:c>
      <x:c r="N17" s="54" t="str"/>
      <x:c r="O17" s="56" t="str">
        <x:v>PM／主管</x:v>
      </x:c>
      <x:c r="P17" s="57" t="str"/>
      <x:c r="Q17" s="52" t="str">
        <x:v>原則不得略過；確需排除時，須註明原因並取得主管核准</x:v>
      </x:c>
      <x:c r="R17" s="52" t="str"/>
    </x:row>
    <x:row r="18">
      <x:c r="A18" s="53" t="str"/>
      <x:c r="B18" s="51" t="str">
        <x:v>研討會／論壇、一般會議／審查會、教育訓練／工作坊、線上會議／直播講座</x:v>
      </x:c>
      <x:c r="C18" s="55" t="n">
        <x:v>14</x:v>
      </x:c>
      <x:c r="D18" s="55" t="str">
        <x:v>規劃確認</x:v>
      </x:c>
      <x:c r="E18" s="51" t="str">
        <x:v>專案統籌</x:v>
      </x:c>
      <x:c r="F18" s="55" t="str">
        <x:v>必做</x:v>
      </x:c>
      <x:c r="G18" s="51" t="str">
        <x:v>確認議程架構</x:v>
      </x:c>
      <x:c r="H18" s="51" t="str">
        <x:v>活動前 8 週</x:v>
      </x:c>
      <x:c r="I18" s="55" t="str">
        <x:v>PM</x:v>
      </x:c>
      <x:c r="J18" s="53" t="str"/>
      <x:c r="K18" s="58"/>
      <x:c r="L18" s="52" t="str">
        <x:v>確認場次、主題、時間、休息與問答配置。</x:v>
      </x:c>
      <x:c r="M18" s="52" t="str">
        <x:v>查核表、測試紀錄或核准截圖</x:v>
      </x:c>
      <x:c r="N18" s="54" t="str"/>
      <x:c r="O18" s="56" t="str">
        <x:v>PM／主管</x:v>
      </x:c>
      <x:c r="P18" s="57" t="str"/>
      <x:c r="Q18" s="52" t="str">
        <x:v>原則不得略過；確需排除時，須註明原因並取得主管核准</x:v>
      </x:c>
      <x:c r="R18" s="52" t="str"/>
    </x:row>
    <x:row r="19">
      <x:c r="A19" s="53" t="str"/>
      <x:c r="B19" s="51" t="str">
        <x:v>巡迴宣導／說明會</x:v>
      </x:c>
      <x:c r="C19" s="55" t="n">
        <x:v>15</x:v>
      </x:c>
      <x:c r="D19" s="55" t="str">
        <x:v>規劃確認</x:v>
      </x:c>
      <x:c r="E19" s="51" t="str">
        <x:v>現場佈置</x:v>
      </x:c>
      <x:c r="F19" s="55" t="str">
        <x:v>必做</x:v>
      </x:c>
      <x:c r="G19" s="51" t="str">
        <x:v>確認各場場地與窗口</x:v>
      </x:c>
      <x:c r="H19" s="51" t="str">
        <x:v>活動前 8 週</x:v>
      </x:c>
      <x:c r="I19" s="55" t="str">
        <x:v>PM</x:v>
      </x:c>
      <x:c r="J19" s="53" t="str"/>
      <x:c r="K19" s="58"/>
      <x:c r="L19" s="52" t="str">
        <x:v>逐場確認地址、聯絡人、容量、交通、停車、卸貨、電力、網路、場地設備、行政申請及地方特殊需求。</x:v>
      </x:c>
      <x:c r="M19" s="52" t="str">
        <x:v>查核表、測試紀錄或核准截圖</x:v>
      </x:c>
      <x:c r="N19" s="54" t="str"/>
      <x:c r="O19" s="56" t="str">
        <x:v>PM／主管</x:v>
      </x:c>
      <x:c r="P19" s="57" t="str"/>
      <x:c r="Q19" s="52" t="str">
        <x:v>原則不得略過；確需排除時，須註明原因並取得主管核准</x:v>
      </x:c>
      <x:c r="R19" s="52" t="str"/>
    </x:row>
    <x:row r="20">
      <x:c r="A20" s="53" t="str"/>
      <x:c r="B20" s="51" t="str">
        <x:v>研討會／論壇、一般會議／審查會、教育訓練／工作坊、線上會議／直播講座</x:v>
      </x:c>
      <x:c r="C20" s="55" t="n">
        <x:v>16</x:v>
      </x:c>
      <x:c r="D20" s="55" t="str">
        <x:v>規劃確認</x:v>
      </x:c>
      <x:c r="E20" s="51" t="str">
        <x:v>講師溝通</x:v>
      </x:c>
      <x:c r="F20" s="55" t="str">
        <x:v>必做</x:v>
      </x:c>
      <x:c r="G20" s="51" t="str">
        <x:v>確認主持座長</x:v>
      </x:c>
      <x:c r="H20" s="51" t="str">
        <x:v>活動前 8 週</x:v>
      </x:c>
      <x:c r="I20" s="55" t="str">
        <x:v>PM</x:v>
      </x:c>
      <x:c r="J20" s="53" t="str"/>
      <x:c r="K20" s="58"/>
      <x:c r="L20" s="52" t="str">
        <x:v>確認主持人或座長名單、角色與聯絡方式。</x:v>
      </x:c>
      <x:c r="M20" s="52" t="str">
        <x:v>查核表、測試紀錄或核准截圖</x:v>
      </x:c>
      <x:c r="N20" s="54" t="str"/>
      <x:c r="O20" s="56" t="str">
        <x:v>PM／主管</x:v>
      </x:c>
      <x:c r="P20" s="57" t="str"/>
      <x:c r="Q20" s="52" t="str">
        <x:v>原則不得略過；確需排除時，須註明原因並取得主管核准</x:v>
      </x:c>
      <x:c r="R20" s="52" t="str"/>
    </x:row>
    <x:row r="21">
      <x:c r="A21" s="53" t="str"/>
      <x:c r="B21" s="51" t="str">
        <x:v>全部活動</x:v>
      </x:c>
      <x:c r="C21" s="55" t="n">
        <x:v>17</x:v>
      </x:c>
      <x:c r="D21" s="55" t="str">
        <x:v>規劃確認</x:v>
      </x:c>
      <x:c r="E21" s="51" t="str">
        <x:v>週邊製作</x:v>
      </x:c>
      <x:c r="F21" s="55" t="str">
        <x:v>必做</x:v>
      </x:c>
      <x:c r="G21" s="51" t="str">
        <x:v>完成主視覺設計與定稿</x:v>
      </x:c>
      <x:c r="H21" s="51" t="str">
        <x:v>活動前 8 週</x:v>
      </x:c>
      <x:c r="I21" s="55" t="str">
        <x:v>PM</x:v>
      </x:c>
      <x:c r="J21" s="53" t="str"/>
      <x:c r="K21" s="58"/>
      <x:c r="L21" s="52" t="str">
        <x:v>依活動目的及品牌規範完成主視覺，取得最終版確認。</x:v>
      </x:c>
      <x:c r="M21" s="52" t="str">
        <x:v>核准文件、完成截圖或可追溯紀錄</x:v>
      </x:c>
      <x:c r="N21" s="54" t="str"/>
      <x:c r="O21" s="56" t="str">
        <x:v>PM／主管</x:v>
      </x:c>
      <x:c r="P21" s="57" t="str"/>
      <x:c r="Q21" s="52" t="str">
        <x:v>原則不得略過；確需排除時，須註明原因並取得主管核准</x:v>
      </x:c>
      <x:c r="R21" s="52" t="str"/>
    </x:row>
    <x:row r="22">
      <x:c r="A22" s="53" t="str"/>
      <x:c r="B22" s="51" t="str">
        <x:v>展覽／攤位／園遊會</x:v>
      </x:c>
      <x:c r="C22" s="55" t="n">
        <x:v>18</x:v>
      </x:c>
      <x:c r="D22" s="55" t="str">
        <x:v>規劃確認</x:v>
      </x:c>
      <x:c r="E22" s="51" t="str">
        <x:v>攤位聯絡</x:v>
      </x:c>
      <x:c r="F22" s="55" t="str">
        <x:v>必做</x:v>
      </x:c>
      <x:c r="G22" s="51" t="str">
        <x:v>確認展區與攤位規格</x:v>
      </x:c>
      <x:c r="H22" s="51" t="str">
        <x:v>活動前 8 週</x:v>
      </x:c>
      <x:c r="I22" s="55" t="str">
        <x:v>PM</x:v>
      </x:c>
      <x:c r="J22" s="53" t="str"/>
      <x:c r="K22" s="58"/>
      <x:c r="L22" s="52" t="str">
        <x:v>確認攤位尺寸、限高、電力、網路、消防、施工證、貨梯、倉儲、進撤場與主辦規章，完成配置圖。</x:v>
      </x:c>
      <x:c r="M22" s="52" t="str">
        <x:v>查核表、測試紀錄或核准截圖</x:v>
      </x:c>
      <x:c r="N22" s="54" t="str"/>
      <x:c r="O22" s="56" t="str">
        <x:v>PM／主管</x:v>
      </x:c>
      <x:c r="P22" s="57" t="str"/>
      <x:c r="Q22" s="52" t="str">
        <x:v>原則不得略過；確需排除時，須註明原因並取得主管核准</x:v>
      </x:c>
      <x:c r="R22" s="52" t="str"/>
    </x:row>
    <x:row r="23">
      <x:c r="A23" s="53" t="str"/>
      <x:c r="B23" s="51" t="str">
        <x:v>研討會／論壇、一般會議／審查會</x:v>
      </x:c>
      <x:c r="C23" s="55" t="n">
        <x:v>19</x:v>
      </x:c>
      <x:c r="D23" s="55" t="str">
        <x:v>規劃確認</x:v>
      </x:c>
      <x:c r="E23" s="51" t="str">
        <x:v>專案統籌</x:v>
      </x:c>
      <x:c r="F23" s="55" t="str">
        <x:v>條件式</x:v>
      </x:c>
      <x:c r="G23" s="51" t="str">
        <x:v>規劃 City Tour</x:v>
      </x:c>
      <x:c r="H23" s="51" t="str">
        <x:v>活動前 8 週</x:v>
      </x:c>
      <x:c r="I23" s="55" t="str">
        <x:v>PM</x:v>
      </x:c>
      <x:c r="J23" s="53" t="str"/>
      <x:c r="K23" s="58"/>
      <x:c r="L23" s="52" t="str">
        <x:v>確認是否辦理城市導覽，完成對象、人數、預算、日期、路線、景點與雨備方案。</x:v>
      </x:c>
      <x:c r="M23" s="52" t="str">
        <x:v>核准文件、完成截圖或可追溯紀錄</x:v>
      </x:c>
      <x:c r="N23" s="54" t="str"/>
      <x:c r="O23" s="56" t="str">
        <x:v>PM</x:v>
      </x:c>
      <x:c r="P23" s="57" t="str"/>
      <x:c r="Q23" s="52" t="str">
        <x:v>不適用時填寫原因，由 PM 確認後關閉</x:v>
      </x:c>
      <x:c r="R23" s="52" t="str"/>
    </x:row>
    <x:row r="24">
      <x:c r="A24" s="53" t="str"/>
      <x:c r="B24" s="51" t="str">
        <x:v>研討會／論壇</x:v>
      </x:c>
      <x:c r="C24" s="55" t="n">
        <x:v>20</x:v>
      </x:c>
      <x:c r="D24" s="55" t="str">
        <x:v>規劃確認</x:v>
      </x:c>
      <x:c r="E24" s="51" t="str">
        <x:v>講師溝通</x:v>
      </x:c>
      <x:c r="F24" s="55" t="str">
        <x:v>條件式</x:v>
      </x:c>
      <x:c r="G24" s="51" t="str">
        <x:v>確認與談人名單</x:v>
      </x:c>
      <x:c r="H24" s="51" t="str">
        <x:v>活動前 8 週</x:v>
      </x:c>
      <x:c r="I24" s="55" t="str">
        <x:v>PM</x:v>
      </x:c>
      <x:c r="J24" s="53" t="str"/>
      <x:c r="K24" s="58"/>
      <x:c r="L24" s="52" t="str">
        <x:v>確認與談人、題綱、座次及互動方式。</x:v>
      </x:c>
      <x:c r="M24" s="52" t="str">
        <x:v>查核表、測試紀錄或核准截圖</x:v>
      </x:c>
      <x:c r="N24" s="54" t="str"/>
      <x:c r="O24" s="56" t="str">
        <x:v>PM</x:v>
      </x:c>
      <x:c r="P24" s="57" t="str"/>
      <x:c r="Q24" s="52" t="str">
        <x:v>不適用時填寫原因，由 PM 確認後關閉</x:v>
      </x:c>
      <x:c r="R24" s="52" t="str"/>
    </x:row>
    <x:row r="25">
      <x:c r="A25" s="53" t="str"/>
      <x:c r="B25" s="51" t="str">
        <x:v>研討會／論壇</x:v>
      </x:c>
      <x:c r="C25" s="55" t="n">
        <x:v>21</x:v>
      </x:c>
      <x:c r="D25" s="55" t="str">
        <x:v>規劃確認</x:v>
      </x:c>
      <x:c r="E25" s="51" t="str">
        <x:v>週邊製作</x:v>
      </x:c>
      <x:c r="F25" s="55" t="str">
        <x:v>條件式</x:v>
      </x:c>
      <x:c r="G25" s="51" t="str">
        <x:v>規劃論文海報展示</x:v>
      </x:c>
      <x:c r="H25" s="51" t="str">
        <x:v>活動前 8 週</x:v>
      </x:c>
      <x:c r="I25" s="55" t="str">
        <x:v>PM</x:v>
      </x:c>
      <x:c r="J25" s="53" t="str"/>
      <x:c r="K25" s="58"/>
      <x:c r="L25" s="52" t="str">
        <x:v>確認投稿規範、尺寸、審查、編號、分區、展示時段與作者說明。</x:v>
      </x:c>
      <x:c r="M25" s="52" t="str">
        <x:v>核准文件、完成截圖或可追溯紀錄</x:v>
      </x:c>
      <x:c r="N25" s="54" t="str"/>
      <x:c r="O25" s="56" t="str">
        <x:v>PM</x:v>
      </x:c>
      <x:c r="P25" s="57" t="str"/>
      <x:c r="Q25" s="52" t="str">
        <x:v>不適用時填寫原因，由 PM 確認後關閉</x:v>
      </x:c>
      <x:c r="R25" s="52" t="str"/>
    </x:row>
    <x:row r="26">
      <x:c r="A26" s="53" t="str"/>
      <x:c r="B26" s="51" t="str">
        <x:v>全部活動</x:v>
      </x:c>
      <x:c r="C26" s="55" t="n">
        <x:v>22</x:v>
      </x:c>
      <x:c r="D26" s="55" t="str">
        <x:v>規劃確認</x:v>
      </x:c>
      <x:c r="E26" s="51" t="str">
        <x:v>週邊製作</x:v>
      </x:c>
      <x:c r="F26" s="55" t="str">
        <x:v>條件式</x:v>
      </x:c>
      <x:c r="G26" s="51" t="str">
        <x:v>確認主視覺與製作清單</x:v>
      </x:c>
      <x:c r="H26" s="51" t="str">
        <x:v>活動前 8 週</x:v>
      </x:c>
      <x:c r="I26" s="55" t="str">
        <x:v>PM</x:v>
      </x:c>
      <x:c r="J26" s="53" t="str"/>
      <x:c r="K26" s="58"/>
      <x:c r="L26" s="52" t="str">
        <x:v>確認主視覺方向及全套尺寸清單，至少涵蓋背板、報到、議程、指標、識別證、桌牌與數位版位；建立版本與完稿日期。</x:v>
      </x:c>
      <x:c r="M26" s="52" t="str">
        <x:v>最新版清單或核准文件</x:v>
      </x:c>
      <x:c r="N26" s="54" t="str"/>
      <x:c r="O26" s="56" t="str">
        <x:v>PM</x:v>
      </x:c>
      <x:c r="P26" s="57" t="str"/>
      <x:c r="Q26" s="52" t="str">
        <x:v>不適用時填寫原因，由 PM 確認後關閉</x:v>
      </x:c>
      <x:c r="R26" s="52" t="str">
        <x:v>校對完稿並送印</x:v>
      </x:c>
    </x:row>
    <x:row r="27">
      <x:c r="A27" s="53" t="str"/>
      <x:c r="B27" s="51" t="str">
        <x:v>研討會／論壇、一般會議／審查會、教育訓練／工作坊、展覽／攤位／園遊會、巡迴宣導／說明會、線上會議／直播講座</x:v>
      </x:c>
      <x:c r="C27" s="55" t="n">
        <x:v>23</x:v>
      </x:c>
      <x:c r="D27" s="55" t="str">
        <x:v>規劃確認</x:v>
      </x:c>
      <x:c r="E27" s="51" t="str">
        <x:v>週邊製作</x:v>
      </x:c>
      <x:c r="F27" s="55" t="str">
        <x:v>條件式</x:v>
      </x:c>
      <x:c r="G27" s="51" t="str">
        <x:v>確認網站功能</x:v>
      </x:c>
      <x:c r="H27" s="51" t="str">
        <x:v>活動前 8 週</x:v>
      </x:c>
      <x:c r="I27" s="55" t="str">
        <x:v>PM</x:v>
      </x:c>
      <x:c r="J27" s="53" t="str"/>
      <x:c r="K27" s="58"/>
      <x:c r="L27" s="52" t="str">
        <x:v>確認一頁或多頁、報名、繳費、投稿及後台權限。</x:v>
      </x:c>
      <x:c r="M27" s="52" t="str">
        <x:v>查核表、測試紀錄或核准截圖</x:v>
      </x:c>
      <x:c r="N27" s="54" t="str"/>
      <x:c r="O27" s="56" t="str">
        <x:v>PM</x:v>
      </x:c>
      <x:c r="P27" s="57" t="str"/>
      <x:c r="Q27" s="52" t="str">
        <x:v>不適用時填寫原因，由 PM 確認後關閉</x:v>
      </x:c>
      <x:c r="R27" s="52" t="str"/>
    </x:row>
    <x:row r="28">
      <x:c r="A28" s="53" t="str"/>
      <x:c r="B28" s="51" t="str">
        <x:v>研討會／論壇</x:v>
      </x:c>
      <x:c r="C28" s="55" t="n">
        <x:v>24</x:v>
      </x:c>
      <x:c r="D28" s="55" t="str">
        <x:v>規劃確認</x:v>
      </x:c>
      <x:c r="E28" s="51" t="str">
        <x:v>攤位聯絡</x:v>
      </x:c>
      <x:c r="F28" s="55" t="str">
        <x:v>條件式</x:v>
      </x:c>
      <x:c r="G28" s="51" t="str">
        <x:v>規劃展覽與贊助區</x:v>
      </x:c>
      <x:c r="H28" s="51" t="str">
        <x:v>活動前 8 週</x:v>
      </x:c>
      <x:c r="I28" s="55" t="str">
        <x:v>PM</x:v>
      </x:c>
      <x:c r="J28" s="53" t="str"/>
      <x:c r="K28" s="58"/>
      <x:c r="L28" s="52" t="str">
        <x:v>確認是否設置展覽或贊助區，完成攤位數量、方案、配置、招商對象與收費原則。</x:v>
      </x:c>
      <x:c r="M28" s="52" t="str">
        <x:v>核准文件、完成截圖或可追溯紀錄</x:v>
      </x:c>
      <x:c r="N28" s="54" t="str"/>
      <x:c r="O28" s="56" t="str">
        <x:v>PM</x:v>
      </x:c>
      <x:c r="P28" s="57" t="str"/>
      <x:c r="Q28" s="52" t="str">
        <x:v>不適用時填寫原因，由 PM 確認後關閉</x:v>
      </x:c>
      <x:c r="R28" s="52" t="str"/>
    </x:row>
    <x:row r="29">
      <x:c r="A29" s="53" t="str"/>
      <x:c r="B29" s="51" t="str">
        <x:v>全部活動</x:v>
      </x:c>
      <x:c r="C29" s="55" t="n">
        <x:v>25</x:v>
      </x:c>
      <x:c r="D29" s="55" t="str">
        <x:v>規劃確認</x:v>
      </x:c>
      <x:c r="E29" s="51" t="str">
        <x:v>週邊製作</x:v>
      </x:c>
      <x:c r="F29" s="55" t="str">
        <x:v>必做</x:v>
      </x:c>
      <x:c r="G29" s="51" t="str">
        <x:v>完成製作物規格與送印</x:v>
      </x:c>
      <x:c r="H29" s="51" t="str">
        <x:v>活動前 7 週</x:v>
      </x:c>
      <x:c r="I29" s="55" t="str">
        <x:v>Staff</x:v>
      </x:c>
      <x:c r="J29" s="53" t="str"/>
      <x:c r="K29" s="58"/>
      <x:c r="L29" s="52" t="str">
        <x:v>確認品項、尺寸、材質、數量及交期，完成文字校對與送印。</x:v>
      </x:c>
      <x:c r="M29" s="52" t="str">
        <x:v>核准文件、完成截圖或可追溯紀錄</x:v>
      </x:c>
      <x:c r="N29" s="54" t="str"/>
      <x:c r="O29" s="56" t="str">
        <x:v>PM／主管</x:v>
      </x:c>
      <x:c r="P29" s="57" t="str"/>
      <x:c r="Q29" s="52" t="str">
        <x:v>原則不得略過；確需排除時，須註明原因並取得主管核准</x:v>
      </x:c>
      <x:c r="R29" s="52" t="str"/>
    </x:row>
    <x:row r="30">
      <x:c r="A30" s="53" t="str"/>
      <x:c r="B30" s="51" t="str">
        <x:v>全部活動</x:v>
      </x:c>
      <x:c r="C30" s="55" t="n">
        <x:v>26</x:v>
      </x:c>
      <x:c r="D30" s="55" t="str">
        <x:v>規劃確認</x:v>
      </x:c>
      <x:c r="E30" s="51" t="str">
        <x:v>後勤作業</x:v>
      </x:c>
      <x:c r="F30" s="55" t="str">
        <x:v>必做</x:v>
      </x:c>
      <x:c r="G30" s="51" t="str">
        <x:v>確認供應商與交期</x:v>
      </x:c>
      <x:c r="H30" s="51" t="str">
        <x:v>活動前 7 週</x:v>
      </x:c>
      <x:c r="I30" s="55" t="str">
        <x:v>PM</x:v>
      </x:c>
      <x:c r="J30" s="53" t="str"/>
      <x:c r="K30" s="58"/>
      <x:c r="L30" s="52" t="str">
        <x:v>逐項確認燈光、音響、影像、攝錄影、場佈、餐飲與人力規格；指定現場負責人、到場時間、交付標準與備援。</x:v>
      </x:c>
      <x:c r="M30" s="52" t="str">
        <x:v>報價、合約、憑證或核准紀錄</x:v>
      </x:c>
      <x:c r="N30" s="54" t="str"/>
      <x:c r="O30" s="56" t="str">
        <x:v>PM／主管</x:v>
      </x:c>
      <x:c r="P30" s="57" t="str"/>
      <x:c r="Q30" s="52" t="str">
        <x:v>原則不得略過；確需排除時，須註明原因並取得主管核准</x:v>
      </x:c>
      <x:c r="R30" s="52" t="str">
        <x:v>完成場勘與場配圖,完成進場測試與彩排</x:v>
      </x:c>
    </x:row>
    <x:row r="31">
      <x:c r="A31" s="53" t="str"/>
      <x:c r="B31" s="51" t="str">
        <x:v>巡迴宣導／說明會、跨區多梯次活動</x:v>
      </x:c>
      <x:c r="C31" s="55" t="n">
        <x:v>27</x:v>
      </x:c>
      <x:c r="D31" s="55" t="str">
        <x:v>規劃確認</x:v>
      </x:c>
      <x:c r="E31" s="51" t="str">
        <x:v>專案統籌</x:v>
      </x:c>
      <x:c r="F31" s="55" t="str">
        <x:v>必做</x:v>
      </x:c>
      <x:c r="G31" s="51" t="str">
        <x:v>確認各場窗口</x:v>
      </x:c>
      <x:c r="H31" s="51" t="str">
        <x:v>活動前 6 週</x:v>
      </x:c>
      <x:c r="I31" s="55" t="str">
        <x:v>Staff</x:v>
      </x:c>
      <x:c r="J31" s="53" t="str"/>
      <x:c r="K31" s="58"/>
      <x:c r="L31" s="52" t="str">
        <x:v>逐場確認主辦、場地、廠商及緊急窗口。</x:v>
      </x:c>
      <x:c r="M31" s="52" t="str">
        <x:v>查核表、測試紀錄或核准截圖</x:v>
      </x:c>
      <x:c r="N31" s="54" t="str"/>
      <x:c r="O31" s="56" t="str">
        <x:v>PM／主管</x:v>
      </x:c>
      <x:c r="P31" s="57" t="str"/>
      <x:c r="Q31" s="52" t="str">
        <x:v>原則不得略過；確需排除時，須註明原因並取得主管核准</x:v>
      </x:c>
      <x:c r="R31" s="52" t="str"/>
    </x:row>
    <x:row r="32">
      <x:c r="A32" s="53" t="str"/>
      <x:c r="B32" s="51" t="str">
        <x:v>體驗／互動活動</x:v>
      </x:c>
      <x:c r="C32" s="55" t="n">
        <x:v>28</x:v>
      </x:c>
      <x:c r="D32" s="55" t="str">
        <x:v>規劃確認</x:v>
      </x:c>
      <x:c r="E32" s="51" t="str">
        <x:v>專案統籌</x:v>
      </x:c>
      <x:c r="F32" s="55" t="str">
        <x:v>必做</x:v>
      </x:c>
      <x:c r="G32" s="51" t="str">
        <x:v>確認體驗流程與容量</x:v>
      </x:c>
      <x:c r="H32" s="51" t="str">
        <x:v>活動前 6 週</x:v>
      </x:c>
      <x:c r="I32" s="55" t="str">
        <x:v>PM</x:v>
      </x:c>
      <x:c r="J32" s="53" t="str"/>
      <x:c r="K32" s="58"/>
      <x:c r="L32" s="52" t="str">
        <x:v>確認每輪時間、人數、適齡、預約與現場候補、排隊長度、轉場清潔及尖峰疏導方式。</x:v>
      </x:c>
      <x:c r="M32" s="52" t="str">
        <x:v>最新版清單或核准文件</x:v>
      </x:c>
      <x:c r="N32" s="54" t="str"/>
      <x:c r="O32" s="56" t="str">
        <x:v>PM／主管</x:v>
      </x:c>
      <x:c r="P32" s="57" t="str"/>
      <x:c r="Q32" s="52" t="str">
        <x:v>原則不得略過；確需排除時，須註明原因並取得主管核准</x:v>
      </x:c>
      <x:c r="R32" s="52" t="str"/>
    </x:row>
    <x:row r="33">
      <x:c r="A33" s="53" t="str"/>
      <x:c r="B33" s="51" t="str">
        <x:v>全部活動</x:v>
      </x:c>
      <x:c r="C33" s="55" t="n">
        <x:v>29</x:v>
      </x:c>
      <x:c r="D33" s="55" t="str">
        <x:v>規劃確認</x:v>
      </x:c>
      <x:c r="E33" s="51" t="str">
        <x:v>燈光音響</x:v>
      </x:c>
      <x:c r="F33" s="55" t="str">
        <x:v>必做</x:v>
      </x:c>
      <x:c r="G33" s="51" t="str">
        <x:v>完成場地技術與安全確認</x:v>
      </x:c>
      <x:c r="H33" s="51" t="str">
        <x:v>活動前 6 週</x:v>
      </x:c>
      <x:c r="I33" s="55" t="str">
        <x:v>PM</x:v>
      </x:c>
      <x:c r="J33" s="53" t="str"/>
      <x:c r="K33" s="58"/>
      <x:c r="L33" s="52" t="str">
        <x:v>確認電力、網路、消防逃生及無障礙動線，完成問題與改善紀錄。</x:v>
      </x:c>
      <x:c r="M33" s="52" t="str">
        <x:v>查核表、測試紀錄或核准截圖</x:v>
      </x:c>
      <x:c r="N33" s="54" t="str"/>
      <x:c r="O33" s="56" t="str">
        <x:v>PM／主管</x:v>
      </x:c>
      <x:c r="P33" s="57" t="str"/>
      <x:c r="Q33" s="52" t="str">
        <x:v>原則不得略過；確需排除時，須註明原因並取得主管核准</x:v>
      </x:c>
      <x:c r="R33" s="52" t="str"/>
    </x:row>
    <x:row r="34">
      <x:c r="A34" s="53" t="str"/>
      <x:c r="B34" s="51" t="str">
        <x:v>研討會／論壇</x:v>
      </x:c>
      <x:c r="C34" s="55" t="n">
        <x:v>30</x:v>
      </x:c>
      <x:c r="D34" s="55" t="str">
        <x:v>規劃確認</x:v>
      </x:c>
      <x:c r="E34" s="51" t="str">
        <x:v>講師溝通</x:v>
      </x:c>
      <x:c r="F34" s="55" t="str">
        <x:v>必做</x:v>
      </x:c>
      <x:c r="G34" s="51" t="str">
        <x:v>收齊講者資料與授權</x:v>
      </x:c>
      <x:c r="H34" s="51" t="str">
        <x:v>活動前 6 週</x:v>
      </x:c>
      <x:c r="I34" s="55" t="str">
        <x:v>PM</x:v>
      </x:c>
      <x:c r="J34" s="53" t="str"/>
      <x:c r="K34" s="58"/>
      <x:c r="L34" s="52" t="str">
        <x:v>收齊講題、摘要、CV、照片、簡報期限、交通住宿、錄影直播及簡報公開授權；建立逐人追蹤表。</x:v>
      </x:c>
      <x:c r="M34" s="52" t="str">
        <x:v>核准文件、完成截圖或可追溯紀錄</x:v>
      </x:c>
      <x:c r="N34" s="54" t="str"/>
      <x:c r="O34" s="56" t="str">
        <x:v>PM／主管</x:v>
      </x:c>
      <x:c r="P34" s="57" t="str"/>
      <x:c r="Q34" s="52" t="str">
        <x:v>原則不得略過；確需排除時，須註明原因並取得主管核准</x:v>
      </x:c>
      <x:c r="R34" s="52" t="str"/>
    </x:row>
    <x:row r="35">
      <x:c r="A35" s="53" t="str"/>
      <x:c r="B35" s="51" t="str">
        <x:v>研討會／論壇、一般會議／審查會、教育訓練／工作坊、記者會／媒體活動、典禮／頒獎／揭牌</x:v>
      </x:c>
      <x:c r="C35" s="55" t="n">
        <x:v>31</x:v>
      </x:c>
      <x:c r="D35" s="55" t="str">
        <x:v>規劃確認</x:v>
      </x:c>
      <x:c r="E35" s="51" t="str">
        <x:v>賓客接待</x:v>
      </x:c>
      <x:c r="F35" s="55" t="str">
        <x:v>必做</x:v>
      </x:c>
      <x:c r="G35" s="51" t="str">
        <x:v>確認貴賓名單</x:v>
      </x:c>
      <x:c r="H35" s="51" t="str">
        <x:v>活動前 6 週</x:v>
      </x:c>
      <x:c r="I35" s="55" t="str">
        <x:v>PM</x:v>
      </x:c>
      <x:c r="J35" s="53" t="str"/>
      <x:c r="K35" s="58"/>
      <x:c r="L35" s="52" t="str">
        <x:v>確認邀請、出席、職稱、排序與幕僚窗口。</x:v>
      </x:c>
      <x:c r="M35" s="52" t="str">
        <x:v>查核表、測試紀錄或核准截圖</x:v>
      </x:c>
      <x:c r="N35" s="54" t="str"/>
      <x:c r="O35" s="56" t="str">
        <x:v>PM／主管</x:v>
      </x:c>
      <x:c r="P35" s="57" t="str"/>
      <x:c r="Q35" s="52" t="str">
        <x:v>原則不得略過；確需排除時，須註明原因並取得主管核准</x:v>
      </x:c>
      <x:c r="R35" s="52" t="str"/>
    </x:row>
    <x:row r="36">
      <x:c r="A36" s="53" t="str"/>
      <x:c r="B36" s="51" t="str">
        <x:v>研討會／論壇、一般會議／審查會、教育訓練／工作坊、展覽／攤位／園遊會、巡迴宣導／說明會、線上會議／直播講座</x:v>
      </x:c>
      <x:c r="C36" s="55" t="n">
        <x:v>32</x:v>
      </x:c>
      <x:c r="D36" s="55" t="str">
        <x:v>規劃確認</x:v>
      </x:c>
      <x:c r="E36" s="51" t="str">
        <x:v>週邊製作</x:v>
      </x:c>
      <x:c r="F36" s="55" t="str">
        <x:v>必做</x:v>
      </x:c>
      <x:c r="G36" s="51" t="str">
        <x:v>完成網站開發</x:v>
      </x:c>
      <x:c r="H36" s="51" t="str">
        <x:v>活動前 6 週</x:v>
      </x:c>
      <x:c r="I36" s="55" t="str">
        <x:v>Staff</x:v>
      </x:c>
      <x:c r="J36" s="53" t="str"/>
      <x:c r="K36" s="58"/>
      <x:c r="L36" s="52" t="str">
        <x:v>完成版型、內容、隱私告知、表單與通知信。</x:v>
      </x:c>
      <x:c r="M36" s="52" t="str">
        <x:v>網址、權限截圖或測試紀錄</x:v>
      </x:c>
      <x:c r="N36" s="54" t="str"/>
      <x:c r="O36" s="56" t="str">
        <x:v>PM／主管</x:v>
      </x:c>
      <x:c r="P36" s="57" t="str"/>
      <x:c r="Q36" s="52" t="str">
        <x:v>原則不得略過；確需排除時，須註明原因並取得主管核准</x:v>
      </x:c>
      <x:c r="R36" s="52" t="str"/>
    </x:row>
    <x:row r="37">
      <x:c r="A37" s="53" t="str"/>
      <x:c r="B37" s="51" t="str">
        <x:v>典禮／頒獎／揭牌</x:v>
      </x:c>
      <x:c r="C37" s="55" t="n">
        <x:v>33</x:v>
      </x:c>
      <x:c r="D37" s="55" t="str">
        <x:v>規劃確認</x:v>
      </x:c>
      <x:c r="E37" s="51" t="str">
        <x:v>專業人員</x:v>
      </x:c>
      <x:c r="F37" s="55" t="str">
        <x:v>必做</x:v>
      </x:c>
      <x:c r="G37" s="51" t="str">
        <x:v>確認司儀人選</x:v>
      </x:c>
      <x:c r="H37" s="51" t="str">
        <x:v>活動前 6 週</x:v>
      </x:c>
      <x:c r="I37" s="55" t="str">
        <x:v>PM</x:v>
      </x:c>
      <x:c r="J37" s="53" t="str"/>
      <x:c r="K37" s="58"/>
      <x:c r="L37" s="52" t="str">
        <x:v>確認風格、語言、檔期、費用及聯絡方式。</x:v>
      </x:c>
      <x:c r="M37" s="52" t="str">
        <x:v>查核表、測試紀錄或核准截圖</x:v>
      </x:c>
      <x:c r="N37" s="54" t="str"/>
      <x:c r="O37" s="56" t="str">
        <x:v>PM／主管</x:v>
      </x:c>
      <x:c r="P37" s="57" t="str"/>
      <x:c r="Q37" s="52" t="str">
        <x:v>原則不得略過；確需排除時，須註明原因並取得主管核准</x:v>
      </x:c>
      <x:c r="R37" s="52" t="str"/>
    </x:row>
    <x:row r="38">
      <x:c r="A38" s="53" t="str"/>
      <x:c r="B38" s="51" t="str">
        <x:v>記者會／媒體活動</x:v>
      </x:c>
      <x:c r="C38" s="55" t="n">
        <x:v>34</x:v>
      </x:c>
      <x:c r="D38" s="55" t="str">
        <x:v>規劃確認</x:v>
      </x:c>
      <x:c r="E38" s="51" t="str">
        <x:v>媒體露出</x:v>
      </x:c>
      <x:c r="F38" s="55" t="str">
        <x:v>必做</x:v>
      </x:c>
      <x:c r="G38" s="51" t="str">
        <x:v>確認媒體訊息與口徑</x:v>
      </x:c>
      <x:c r="H38" s="51" t="str">
        <x:v>活動前 6 週</x:v>
      </x:c>
      <x:c r="I38" s="55" t="str">
        <x:v>PM</x:v>
      </x:c>
      <x:c r="J38" s="53" t="str"/>
      <x:c r="K38" s="58"/>
      <x:c r="L38" s="52" t="str">
        <x:v>確認新聞價值、三個核心訊息、發言人、禁答議題、Q&amp;A、危機口徑及可公開數據，取得客戶書面核准。</x:v>
      </x:c>
      <x:c r="M38" s="52" t="str">
        <x:v>核准文件、完成截圖或可追溯紀錄</x:v>
      </x:c>
      <x:c r="N38" s="54" t="str"/>
      <x:c r="O38" s="56" t="str">
        <x:v>PM／主管</x:v>
      </x:c>
      <x:c r="P38" s="57" t="str"/>
      <x:c r="Q38" s="52" t="str">
        <x:v>原則不得略過；確需排除時，須註明原因並取得主管核准</x:v>
      </x:c>
      <x:c r="R38" s="52" t="str"/>
    </x:row>
    <x:row r="39">
      <x:c r="A39" s="53" t="str"/>
      <x:c r="B39" s="51" t="str">
        <x:v>展覽／攤位／園遊會、體驗／互動活動</x:v>
      </x:c>
      <x:c r="C39" s="55" t="n">
        <x:v>35</x:v>
      </x:c>
      <x:c r="D39" s="55" t="str">
        <x:v>規劃確認</x:v>
      </x:c>
      <x:c r="E39" s="51" t="str">
        <x:v>攤位聯絡</x:v>
      </x:c>
      <x:c r="F39" s="55" t="str">
        <x:v>必做</x:v>
      </x:c>
      <x:c r="G39" s="51" t="str">
        <x:v>確認攤位配置</x:v>
      </x:c>
      <x:c r="H39" s="51" t="str">
        <x:v>活動前 6 週</x:v>
      </x:c>
      <x:c r="I39" s="55" t="str">
        <x:v>PM</x:v>
      </x:c>
      <x:c r="J39" s="53" t="str"/>
      <x:c r="K39" s="58"/>
      <x:c r="L39" s="52" t="str">
        <x:v>確認數量、尺寸、走道、消防與參展單位位置。</x:v>
      </x:c>
      <x:c r="M39" s="52" t="str">
        <x:v>查核表、測試紀錄或核准截圖</x:v>
      </x:c>
      <x:c r="N39" s="54" t="str"/>
      <x:c r="O39" s="56" t="str">
        <x:v>PM／主管</x:v>
      </x:c>
      <x:c r="P39" s="57" t="str"/>
      <x:c r="Q39" s="52" t="str">
        <x:v>原則不得略過；確需排除時，須註明原因並取得主管核准</x:v>
      </x:c>
      <x:c r="R39" s="52" t="str"/>
    </x:row>
    <x:row r="40">
      <x:c r="A40" s="53" t="str"/>
      <x:c r="B40" s="51" t="str">
        <x:v>研討會／論壇、教育訓練／工作坊、線上會議／直播講座</x:v>
      </x:c>
      <x:c r="C40" s="55" t="n">
        <x:v>36</x:v>
      </x:c>
      <x:c r="D40" s="55" t="str">
        <x:v>規劃確認</x:v>
      </x:c>
      <x:c r="E40" s="51" t="str">
        <x:v>講師溝通</x:v>
      </x:c>
      <x:c r="F40" s="55" t="str">
        <x:v>條件式</x:v>
      </x:c>
      <x:c r="G40" s="51" t="str">
        <x:v>收齊講者資料</x:v>
      </x:c>
      <x:c r="H40" s="51" t="str">
        <x:v>活動前 6 週</x:v>
      </x:c>
      <x:c r="I40" s="55" t="str">
        <x:v>Staff</x:v>
      </x:c>
      <x:c r="J40" s="53" t="str"/>
      <x:c r="K40" s="58"/>
      <x:c r="L40" s="52" t="str">
        <x:v>收齊姓名職稱、CV、照片、摘要與聯絡方式。</x:v>
      </x:c>
      <x:c r="M40" s="52" t="str">
        <x:v>核准文件、完成截圖或可追溯紀錄</x:v>
      </x:c>
      <x:c r="N40" s="54" t="str"/>
      <x:c r="O40" s="56" t="str">
        <x:v>PM</x:v>
      </x:c>
      <x:c r="P40" s="57" t="str"/>
      <x:c r="Q40" s="52" t="str">
        <x:v>不適用時填寫原因，由 PM 確認後關閉</x:v>
      </x:c>
      <x:c r="R40" s="52" t="str"/>
    </x:row>
    <x:row r="41">
      <x:c r="A41" s="53" t="str"/>
      <x:c r="B41" s="51" t="str">
        <x:v>研討會／論壇</x:v>
      </x:c>
      <x:c r="C41" s="55" t="n">
        <x:v>37</x:v>
      </x:c>
      <x:c r="D41" s="55" t="str">
        <x:v>規劃確認</x:v>
      </x:c>
      <x:c r="E41" s="51" t="str">
        <x:v>專業人員</x:v>
      </x:c>
      <x:c r="F41" s="55" t="str">
        <x:v>條件式</x:v>
      </x:c>
      <x:c r="G41" s="51" t="str">
        <x:v>安排口譯人員</x:v>
      </x:c>
      <x:c r="H41" s="51" t="str">
        <x:v>活動前 6 週</x:v>
      </x:c>
      <x:c r="I41" s="55" t="str">
        <x:v>PM</x:v>
      </x:c>
      <x:c r="J41" s="53" t="str"/>
      <x:c r="K41" s="58"/>
      <x:c r="L41" s="52" t="str">
        <x:v>確認語言、人數、時數、簡報提供與錄音授權。</x:v>
      </x:c>
      <x:c r="M41" s="52" t="str">
        <x:v>核准文件、完成截圖或可追溯紀錄</x:v>
      </x:c>
      <x:c r="N41" s="54" t="str"/>
      <x:c r="O41" s="56" t="str">
        <x:v>PM</x:v>
      </x:c>
      <x:c r="P41" s="57" t="str"/>
      <x:c r="Q41" s="52" t="str">
        <x:v>不適用時填寫原因，由 PM 確認後關閉</x:v>
      </x:c>
      <x:c r="R41" s="52" t="str"/>
    </x:row>
    <x:row r="42">
      <x:c r="A42" s="53" t="str"/>
      <x:c r="B42" s="51" t="str">
        <x:v>研討會／論壇</x:v>
      </x:c>
      <x:c r="C42" s="55" t="n">
        <x:v>38</x:v>
      </x:c>
      <x:c r="D42" s="55" t="str">
        <x:v>規劃確認</x:v>
      </x:c>
      <x:c r="E42" s="51" t="str">
        <x:v>攤位聯絡</x:v>
      </x:c>
      <x:c r="F42" s="55" t="str">
        <x:v>條件式</x:v>
      </x:c>
      <x:c r="G42" s="51" t="str">
        <x:v>確認贊助攤位</x:v>
      </x:c>
      <x:c r="H42" s="51" t="str">
        <x:v>活動前 6 週</x:v>
      </x:c>
      <x:c r="I42" s="55" t="str">
        <x:v>PM</x:v>
      </x:c>
      <x:c r="J42" s="53" t="str"/>
      <x:c r="K42" s="58"/>
      <x:c r="L42" s="52" t="str">
        <x:v>確認攤位規格、電力、網路、進撤場與視覺規範。</x:v>
      </x:c>
      <x:c r="M42" s="52" t="str">
        <x:v>查核表、測試紀錄或核准截圖</x:v>
      </x:c>
      <x:c r="N42" s="54" t="str"/>
      <x:c r="O42" s="56" t="str">
        <x:v>PM</x:v>
      </x:c>
      <x:c r="P42" s="57" t="str"/>
      <x:c r="Q42" s="52" t="str">
        <x:v>不適用時填寫原因，由 PM 確認後關閉</x:v>
      </x:c>
      <x:c r="R42" s="52" t="str"/>
    </x:row>
    <x:row r="43">
      <x:c r="A43" s="53" t="str"/>
      <x:c r="B43" s="51" t="str">
        <x:v>全部活動</x:v>
      </x:c>
      <x:c r="C43" s="55" t="n">
        <x:v>39</x:v>
      </x:c>
      <x:c r="D43" s="55" t="str">
        <x:v>規劃確認</x:v>
      </x:c>
      <x:c r="E43" s="51" t="str">
        <x:v>專案統籌</x:v>
      </x:c>
      <x:c r="F43" s="55" t="str">
        <x:v>必做</x:v>
      </x:c>
      <x:c r="G43" s="51" t="str">
        <x:v>確認流程與分工</x:v>
      </x:c>
      <x:c r="H43" s="51" t="str">
        <x:v>活動前 5 週</x:v>
      </x:c>
      <x:c r="I43" s="55" t="str">
        <x:v>PM</x:v>
      </x:c>
      <x:c r="J43" s="53" t="str"/>
      <x:c r="K43" s="58"/>
      <x:c r="L43" s="52" t="str">
        <x:v>完成分鐘級流程表與 RACI；明列總控、報到、接待、催場、舞台、音控、影像、後勤、攝錄影及客戶決策窗口。</x:v>
      </x:c>
      <x:c r="M43" s="52" t="str">
        <x:v>查核表、測試紀錄或核准截圖</x:v>
      </x:c>
      <x:c r="N43" s="54" t="str"/>
      <x:c r="O43" s="56" t="str">
        <x:v>PM／主管</x:v>
      </x:c>
      <x:c r="P43" s="57" t="str"/>
      <x:c r="Q43" s="52" t="str">
        <x:v>原則不得略過；確需排除時，須註明原因並取得主管核准</x:v>
      </x:c>
      <x:c r="R43" s="52" t="str">
        <x:v>完成執行與應變手冊</x:v>
      </x:c>
    </x:row>
    <x:row r="44">
      <x:c r="A44" s="53" t="str"/>
      <x:c r="B44" s="51" t="str">
        <x:v>研討會／論壇、教育訓練／工作坊、線上會議／直播講座</x:v>
      </x:c>
      <x:c r="C44" s="55" t="n">
        <x:v>40</x:v>
      </x:c>
      <x:c r="D44" s="55" t="str">
        <x:v>規劃確認</x:v>
      </x:c>
      <x:c r="E44" s="51" t="str">
        <x:v>講師溝通</x:v>
      </x:c>
      <x:c r="F44" s="55" t="str">
        <x:v>條件式</x:v>
      </x:c>
      <x:c r="G44" s="51" t="str">
        <x:v>確認講題摘要</x:v>
      </x:c>
      <x:c r="H44" s="51" t="str">
        <x:v>活動前 5 週</x:v>
      </x:c>
      <x:c r="I44" s="55" t="str">
        <x:v>PM</x:v>
      </x:c>
      <x:c r="J44" s="53" t="str"/>
      <x:c r="K44" s="58"/>
      <x:c r="L44" s="52" t="str">
        <x:v>確認中英文講題、摘要、議程用字與公開範圍。</x:v>
      </x:c>
      <x:c r="M44" s="52" t="str">
        <x:v>查核表、測試紀錄或核准截圖</x:v>
      </x:c>
      <x:c r="N44" s="54" t="str"/>
      <x:c r="O44" s="56" t="str">
        <x:v>PM</x:v>
      </x:c>
      <x:c r="P44" s="57" t="str"/>
      <x:c r="Q44" s="52" t="str">
        <x:v>不適用時填寫原因，由 PM 確認後關閉</x:v>
      </x:c>
      <x:c r="R44" s="52" t="str"/>
    </x:row>
    <x:row r="45">
      <x:c r="A45" s="53" t="str"/>
      <x:c r="B45" s="51" t="str">
        <x:v>研討會／論壇、一般會議／審查會、教育訓練／工作坊、記者會／媒體活動、典禮／頒獎／揭牌</x:v>
      </x:c>
      <x:c r="C45" s="55" t="n">
        <x:v>41</x:v>
      </x:c>
      <x:c r="D45" s="55" t="str">
        <x:v>規劃確認</x:v>
      </x:c>
      <x:c r="E45" s="51" t="str">
        <x:v>賓客接待</x:v>
      </x:c>
      <x:c r="F45" s="55" t="str">
        <x:v>條件式</x:v>
      </x:c>
      <x:c r="G45" s="51" t="str">
        <x:v>寄送貴賓邀請</x:v>
      </x:c>
      <x:c r="H45" s="51" t="str">
        <x:v>活動前 5 週</x:v>
      </x:c>
      <x:c r="I45" s="55" t="str">
        <x:v>Staff</x:v>
      </x:c>
      <x:c r="J45" s="53" t="str"/>
      <x:c r="K45" s="58"/>
      <x:c r="L45" s="52" t="str">
        <x:v>寄送邀請並追蹤出席及特殊需求。</x:v>
      </x:c>
      <x:c r="M45" s="52" t="str">
        <x:v>寄送紀錄與收件名單</x:v>
      </x:c>
      <x:c r="N45" s="54" t="str"/>
      <x:c r="O45" s="56" t="str">
        <x:v>PM</x:v>
      </x:c>
      <x:c r="P45" s="57" t="str"/>
      <x:c r="Q45" s="52" t="str">
        <x:v>不適用時填寫原因，由 PM 確認後關閉</x:v>
      </x:c>
      <x:c r="R45" s="52" t="str"/>
    </x:row>
    <x:row r="46">
      <x:c r="A46" s="53" t="str"/>
      <x:c r="B46" s="51" t="str">
        <x:v>典禮／頒獎／揭牌</x:v>
      </x:c>
      <x:c r="C46" s="55" t="n">
        <x:v>42</x:v>
      </x:c>
      <x:c r="D46" s="55" t="str">
        <x:v>執行籌備</x:v>
      </x:c>
      <x:c r="E46" s="51" t="str">
        <x:v>專案統籌</x:v>
      </x:c>
      <x:c r="F46" s="55" t="str">
        <x:v>必做</x:v>
      </x:c>
      <x:c r="G46" s="51" t="str">
        <x:v>確認儀式腳本與站位</x:v>
      </x:c>
      <x:c r="H46" s="51" t="str">
        <x:v>活動前 4 週</x:v>
      </x:c>
      <x:c r="I46" s="55" t="str">
        <x:v>PM</x:v>
      </x:c>
      <x:c r="J46" s="53" t="str"/>
      <x:c r="K46" s="58"/>
      <x:c r="L46" s="52" t="str">
        <x:v>逐段確認致詞、頒獎、揭牌、剪綵或啟動流程；列出上台順序、站位、引導路線、合照及備援人選。</x:v>
      </x:c>
      <x:c r="M46" s="52" t="str">
        <x:v>最新版清單或核准文件</x:v>
      </x:c>
      <x:c r="N46" s="54" t="str"/>
      <x:c r="O46" s="56" t="str">
        <x:v>PM／主管</x:v>
      </x:c>
      <x:c r="P46" s="57" t="str"/>
      <x:c r="Q46" s="52" t="str">
        <x:v>原則不得略過；確需排除時，須註明原因並取得主管核准</x:v>
      </x:c>
      <x:c r="R46" s="52" t="str"/>
    </x:row>
    <x:row r="47">
      <x:c r="A47" s="53" t="str"/>
      <x:c r="B47" s="51" t="str">
        <x:v>一般會議／審查會</x:v>
      </x:c>
      <x:c r="C47" s="55" t="n">
        <x:v>43</x:v>
      </x:c>
      <x:c r="D47" s="55" t="str">
        <x:v>執行籌備</x:v>
      </x:c>
      <x:c r="E47" s="51" t="str">
        <x:v>專案統籌</x:v>
      </x:c>
      <x:c r="F47" s="55" t="str">
        <x:v>必做</x:v>
      </x:c>
      <x:c r="G47" s="51" t="str">
        <x:v>確認議題與決策事項</x:v>
      </x:c>
      <x:c r="H47" s="51" t="str">
        <x:v>活動前 4 週</x:v>
      </x:c>
      <x:c r="I47" s="55" t="str">
        <x:v>PM</x:v>
      </x:c>
      <x:c r="J47" s="53" t="str"/>
      <x:c r="K47" s="58"/>
      <x:c r="L47" s="52" t="str">
        <x:v>明列會議需通過、決議或審查的事項，確認主持人、報告人、委員、表決方式與會後紀錄格式。</x:v>
      </x:c>
      <x:c r="M47" s="52" t="str">
        <x:v>查核表、測試紀錄或核准截圖</x:v>
      </x:c>
      <x:c r="N47" s="54" t="str"/>
      <x:c r="O47" s="56" t="str">
        <x:v>PM／主管</x:v>
      </x:c>
      <x:c r="P47" s="57" t="str"/>
      <x:c r="Q47" s="52" t="str">
        <x:v>原則不得略過；確需排除時，須註明原因並取得主管核准</x:v>
      </x:c>
      <x:c r="R47" s="52" t="str"/>
    </x:row>
    <x:row r="48">
      <x:c r="A48" s="53" t="str"/>
      <x:c r="B48" s="51" t="str">
        <x:v>全部活動</x:v>
      </x:c>
      <x:c r="C48" s="55" t="n">
        <x:v>44</x:v>
      </x:c>
      <x:c r="D48" s="55" t="str">
        <x:v>執行籌備</x:v>
      </x:c>
      <x:c r="E48" s="51" t="str">
        <x:v>現場佈置</x:v>
      </x:c>
      <x:c r="F48" s="55" t="str">
        <x:v>必做</x:v>
      </x:c>
      <x:c r="G48" s="51" t="str">
        <x:v>完成場勘與場配圖</x:v>
      </x:c>
      <x:c r="H48" s="51" t="str">
        <x:v>活動前 4 週</x:v>
      </x:c>
      <x:c r="I48" s="55" t="str">
        <x:v>PM</x:v>
      </x:c>
      <x:c r="J48" s="53" t="str"/>
      <x:c r="K48" s="58"/>
      <x:c r="L48" s="52" t="str">
        <x:v>現場量測並定稿平面配置、人流與逃生動線、舞台、報到、控台、電力、網路、燈光、音響、吊掛、倉儲與雨備；留存照片和尺寸。</x:v>
      </x:c>
      <x:c r="M48" s="52" t="str">
        <x:v>場地文件、點交紀錄或現場照片</x:v>
      </x:c>
      <x:c r="N48" s="54" t="str"/>
      <x:c r="O48" s="56" t="str">
        <x:v>PM／主管</x:v>
      </x:c>
      <x:c r="P48" s="57" t="str"/>
      <x:c r="Q48" s="52" t="str">
        <x:v>原則不得略過；確需排除時，須註明原因並取得主管核准</x:v>
      </x:c>
      <x:c r="R48" s="52" t="str">
        <x:v>完成進場測試與彩排</x:v>
      </x:c>
    </x:row>
    <x:row r="49">
      <x:c r="A49" s="53" t="str"/>
      <x:c r="B49" s="51" t="str">
        <x:v>線上會議／直播講座</x:v>
      </x:c>
      <x:c r="C49" s="55" t="n">
        <x:v>45</x:v>
      </x:c>
      <x:c r="D49" s="55" t="str">
        <x:v>執行籌備</x:v>
      </x:c>
      <x:c r="E49" s="51" t="str">
        <x:v>直播作業</x:v>
      </x:c>
      <x:c r="F49" s="55" t="str">
        <x:v>必做</x:v>
      </x:c>
      <x:c r="G49" s="51" t="str">
        <x:v>確認平台與備援方案</x:v>
      </x:c>
      <x:c r="H49" s="51" t="str">
        <x:v>活動前 4 週</x:v>
      </x:c>
      <x:c r="I49" s="55" t="str">
        <x:v>PM</x:v>
      </x:c>
      <x:c r="J49" s="53" t="str"/>
      <x:c r="K49" s="58"/>
      <x:c r="L49" s="52" t="str">
        <x:v>確認主辦帳號、授權容量、主持權限、錄影、直播延遲、聊天室、同傳、資安與個資設定；準備備援會議室及電話。</x:v>
      </x:c>
      <x:c r="M49" s="52" t="str">
        <x:v>查核表、測試紀錄或核准截圖</x:v>
      </x:c>
      <x:c r="N49" s="54" t="str"/>
      <x:c r="O49" s="56" t="str">
        <x:v>PM／主管</x:v>
      </x:c>
      <x:c r="P49" s="57" t="str"/>
      <x:c r="Q49" s="52" t="str">
        <x:v>原則不得略過；確需排除時，須註明原因並取得主管核准</x:v>
      </x:c>
      <x:c r="R49" s="52" t="str"/>
    </x:row>
    <x:row r="50">
      <x:c r="A50" s="53" t="str"/>
      <x:c r="B50" s="51" t="str">
        <x:v>線上會議／直播講座</x:v>
      </x:c>
      <x:c r="C50" s="55" t="n">
        <x:v>46</x:v>
      </x:c>
      <x:c r="D50" s="55" t="str">
        <x:v>執行籌備</x:v>
      </x:c>
      <x:c r="E50" s="51" t="str">
        <x:v>直播作業</x:v>
      </x:c>
      <x:c r="F50" s="55" t="str">
        <x:v>必做</x:v>
      </x:c>
      <x:c r="G50" s="51" t="str">
        <x:v>確認視訊平台</x:v>
      </x:c>
      <x:c r="H50" s="51" t="str">
        <x:v>活動前 4 週</x:v>
      </x:c>
      <x:c r="I50" s="55" t="str">
        <x:v>PM</x:v>
      </x:c>
      <x:c r="J50" s="53" t="str"/>
      <x:c r="K50" s="58"/>
      <x:c r="L50" s="52" t="str">
        <x:v>確認容量、權限、錄影、聊天室、資安與費用。</x:v>
      </x:c>
      <x:c r="M50" s="52" t="str">
        <x:v>查核表、測試紀錄或核准截圖</x:v>
      </x:c>
      <x:c r="N50" s="54" t="str"/>
      <x:c r="O50" s="56" t="str">
        <x:v>PM／主管</x:v>
      </x:c>
      <x:c r="P50" s="57" t="str"/>
      <x:c r="Q50" s="52" t="str">
        <x:v>原則不得略過；確需排除時，須註明原因並取得主管核准</x:v>
      </x:c>
      <x:c r="R50" s="52" t="str"/>
    </x:row>
    <x:row r="51">
      <x:c r="A51" s="53" t="str"/>
      <x:c r="B51" s="51" t="str">
        <x:v>全部活動</x:v>
      </x:c>
      <x:c r="C51" s="55" t="n">
        <x:v>47</x:v>
      </x:c>
      <x:c r="D51" s="55" t="str">
        <x:v>執行籌備</x:v>
      </x:c>
      <x:c r="E51" s="51" t="str">
        <x:v>賓客接待</x:v>
      </x:c>
      <x:c r="F51" s="55" t="str">
        <x:v>必做</x:v>
      </x:c>
      <x:c r="G51" s="51" t="str">
        <x:v>確認報到方式</x:v>
      </x:c>
      <x:c r="H51" s="51" t="str">
        <x:v>活動前 4 週</x:v>
      </x:c>
      <x:c r="I51" s="55" t="str">
        <x:v>PM</x:v>
      </x:c>
      <x:c r="J51" s="53" t="str"/>
      <x:c r="K51" s="58"/>
      <x:c r="L51" s="52" t="str">
        <x:v>選定人工、電子或混合報到及異常處理。</x:v>
      </x:c>
      <x:c r="M51" s="52" t="str">
        <x:v>查核表、測試紀錄或核准截圖</x:v>
      </x:c>
      <x:c r="N51" s="54" t="str"/>
      <x:c r="O51" s="56" t="str">
        <x:v>PM／主管</x:v>
      </x:c>
      <x:c r="P51" s="57" t="str"/>
      <x:c r="Q51" s="52" t="str">
        <x:v>原則不得略過；確需排除時，須註明原因並取得主管核准</x:v>
      </x:c>
      <x:c r="R51" s="52" t="str"/>
    </x:row>
    <x:row r="52">
      <x:c r="A52" s="53" t="str"/>
      <x:c r="B52" s="51" t="str">
        <x:v>研討會／論壇、一般會議／審查會、教育訓練／工作坊、展覽／攤位／園遊會、巡迴宣導／說明會、線上會議／直播講座</x:v>
      </x:c>
      <x:c r="C52" s="55" t="n">
        <x:v>48</x:v>
      </x:c>
      <x:c r="D52" s="55" t="str">
        <x:v>執行籌備</x:v>
      </x:c>
      <x:c r="E52" s="51" t="str">
        <x:v>週邊製作</x:v>
      </x:c>
      <x:c r="F52" s="55" t="str">
        <x:v>必做</x:v>
      </x:c>
      <x:c r="G52" s="51" t="str">
        <x:v>測試網站報名</x:v>
      </x:c>
      <x:c r="H52" s="51" t="str">
        <x:v>活動前 4 週</x:v>
      </x:c>
      <x:c r="I52" s="55" t="str">
        <x:v>Staff</x:v>
      </x:c>
      <x:c r="J52" s="53" t="str"/>
      <x:c r="K52" s="58"/>
      <x:c r="L52" s="52" t="str">
        <x:v>測試手機、桌機、欄位、信件、付款與匯出。</x:v>
      </x:c>
      <x:c r="M52" s="52" t="str">
        <x:v>查核表、測試紀錄或核准截圖</x:v>
      </x:c>
      <x:c r="N52" s="54" t="str"/>
      <x:c r="O52" s="56" t="str">
        <x:v>PM／主管</x:v>
      </x:c>
      <x:c r="P52" s="57" t="str"/>
      <x:c r="Q52" s="52" t="str">
        <x:v>原則不得略過；確需排除時，須註明原因並取得主管核准</x:v>
      </x:c>
      <x:c r="R52" s="52" t="str"/>
    </x:row>
    <x:row r="53">
      <x:c r="A53" s="53" t="str"/>
      <x:c r="B53" s="51" t="str">
        <x:v>跨區多梯次活動</x:v>
      </x:c>
      <x:c r="C53" s="55" t="n">
        <x:v>49</x:v>
      </x:c>
      <x:c r="D53" s="55" t="str">
        <x:v>執行籌備</x:v>
      </x:c>
      <x:c r="E53" s="51" t="str">
        <x:v>後勤作業</x:v>
      </x:c>
      <x:c r="F53" s="55" t="str">
        <x:v>必做</x:v>
      </x:c>
      <x:c r="G53" s="51" t="str">
        <x:v>安排交通住宿與輪值</x:v>
      </x:c>
      <x:c r="H53" s="51" t="str">
        <x:v>活動前 4 週</x:v>
      </x:c>
      <x:c r="I53" s="55" t="str">
        <x:v>Staff</x:v>
      </x:c>
      <x:c r="J53" s="53" t="str"/>
      <x:c r="K53" s="58"/>
      <x:c r="L53" s="52" t="str">
        <x:v>完成逐人逐場交通住宿、接駁、輪值、工時與替補表；確認離島、天候、行李與設備運送限制。</x:v>
      </x:c>
      <x:c r="M53" s="52" t="str">
        <x:v>核准文件、完成截圖或可追溯紀錄</x:v>
      </x:c>
      <x:c r="N53" s="54" t="str"/>
      <x:c r="O53" s="56" t="str">
        <x:v>PM／主管</x:v>
      </x:c>
      <x:c r="P53" s="57" t="str"/>
      <x:c r="Q53" s="52" t="str">
        <x:v>原則不得略過；確需排除時，須註明原因並取得主管核准</x:v>
      </x:c>
      <x:c r="R53" s="52" t="str"/>
    </x:row>
    <x:row r="54">
      <x:c r="A54" s="53" t="str"/>
      <x:c r="B54" s="51" t="str">
        <x:v>全部活動</x:v>
      </x:c>
      <x:c r="C54" s="55" t="n">
        <x:v>50</x:v>
      </x:c>
      <x:c r="D54" s="55" t="str">
        <x:v>執行籌備</x:v>
      </x:c>
      <x:c r="E54" s="51" t="str">
        <x:v>後勤作業</x:v>
      </x:c>
      <x:c r="F54" s="55" t="str">
        <x:v>必做</x:v>
      </x:c>
      <x:c r="G54" s="51" t="str">
        <x:v>確認活動保險</x:v>
      </x:c>
      <x:c r="H54" s="51" t="str">
        <x:v>活動前 4 週</x:v>
      </x:c>
      <x:c r="I54" s="55" t="str">
        <x:v>PM</x:v>
      </x:c>
      <x:c r="J54" s="53" t="str"/>
      <x:c r="K54" s="58"/>
      <x:c r="L54" s="52" t="str">
        <x:v>依合約確認公共意外、雇主、食安或旅行平安險。</x:v>
      </x:c>
      <x:c r="M54" s="52" t="str">
        <x:v>查核表、測試紀錄或核准截圖</x:v>
      </x:c>
      <x:c r="N54" s="54" t="str"/>
      <x:c r="O54" s="56" t="str">
        <x:v>PM／主管</x:v>
      </x:c>
      <x:c r="P54" s="57" t="str"/>
      <x:c r="Q54" s="52" t="str">
        <x:v>原則不得略過；確需排除時，須註明原因並取得主管核准</x:v>
      </x:c>
      <x:c r="R54" s="52" t="str"/>
    </x:row>
    <x:row r="55">
      <x:c r="A55" s="53" t="str"/>
      <x:c r="B55" s="51" t="str">
        <x:v>全部活動</x:v>
      </x:c>
      <x:c r="C55" s="55" t="n">
        <x:v>51</x:v>
      </x:c>
      <x:c r="D55" s="55" t="str">
        <x:v>執行籌備</x:v>
      </x:c>
      <x:c r="E55" s="51" t="str">
        <x:v>賓客接待</x:v>
      </x:c>
      <x:c r="F55" s="55" t="str">
        <x:v>條件式</x:v>
      </x:c>
      <x:c r="G55" s="51" t="str">
        <x:v>確認邀請與報名名單</x:v>
      </x:c>
      <x:c r="H55" s="51" t="str">
        <x:v>活動前 4 週</x:v>
      </x:c>
      <x:c r="I55" s="55" t="str">
        <x:v>Staff</x:v>
      </x:c>
      <x:c r="J55" s="53" t="str"/>
      <x:c r="K55" s="58"/>
      <x:c r="L55" s="52" t="str">
        <x:v>確認邀請與提醒節點；名單包含單位職稱、飲食、無障礙、交通、住宿、接駁與個資同意狀態，建立每日更新責任人。</x:v>
      </x:c>
      <x:c r="M55" s="52" t="str">
        <x:v>查核表、測試紀錄或核准截圖</x:v>
      </x:c>
      <x:c r="N55" s="54" t="str"/>
      <x:c r="O55" s="56" t="str">
        <x:v>PM</x:v>
      </x:c>
      <x:c r="P55" s="57" t="str"/>
      <x:c r="Q55" s="52" t="str">
        <x:v>不適用時填寫原因，由 PM 確認後關閉</x:v>
      </x:c>
      <x:c r="R55" s="52" t="str">
        <x:v>確認報到與座位名單</x:v>
      </x:c>
    </x:row>
    <x:row r="56">
      <x:c r="A56" s="53" t="str"/>
      <x:c r="B56" s="51" t="str">
        <x:v>全部活動</x:v>
      </x:c>
      <x:c r="C56" s="55" t="n">
        <x:v>52</x:v>
      </x:c>
      <x:c r="D56" s="55" t="str">
        <x:v>執行籌備</x:v>
      </x:c>
      <x:c r="E56" s="51" t="str">
        <x:v>影音製作</x:v>
      </x:c>
      <x:c r="F56" s="55" t="str">
        <x:v>條件式</x:v>
      </x:c>
      <x:c r="G56" s="51" t="str">
        <x:v>安排攝錄影</x:v>
      </x:c>
      <x:c r="H56" s="51" t="str">
        <x:v>活動前 4 週</x:v>
      </x:c>
      <x:c r="I56" s="55" t="str">
        <x:v>PM</x:v>
      </x:c>
      <x:c r="J56" s="53" t="str"/>
      <x:c r="K56" s="58"/>
      <x:c r="L56" s="52" t="str">
        <x:v>確認攝錄影人員、機位、拍攝清單、交檔規格、時程與使用授權。</x:v>
      </x:c>
      <x:c r="M56" s="52" t="str">
        <x:v>照片／影片檔或交付連結</x:v>
      </x:c>
      <x:c r="N56" s="54" t="str"/>
      <x:c r="O56" s="56" t="str">
        <x:v>PM</x:v>
      </x:c>
      <x:c r="P56" s="57" t="str"/>
      <x:c r="Q56" s="52" t="str">
        <x:v>不適用時填寫原因，由 PM 確認後關閉</x:v>
      </x:c>
      <x:c r="R56" s="52" t="str"/>
    </x:row>
    <x:row r="57">
      <x:c r="A57" s="53" t="str"/>
      <x:c r="B57" s="51" t="str">
        <x:v>研討會／論壇</x:v>
      </x:c>
      <x:c r="C57" s="55" t="n">
        <x:v>53</x:v>
      </x:c>
      <x:c r="D57" s="55" t="str">
        <x:v>執行籌備</x:v>
      </x:c>
      <x:c r="E57" s="51" t="str">
        <x:v>專業人員</x:v>
      </x:c>
      <x:c r="F57" s="55" t="str">
        <x:v>條件式</x:v>
      </x:c>
      <x:c r="G57" s="51" t="str">
        <x:v>確認口譯與海報規格</x:v>
      </x:c>
      <x:c r="H57" s="51" t="str">
        <x:v>活動前 4 週</x:v>
      </x:c>
      <x:c r="I57" s="55" t="str">
        <x:v>PM</x:v>
      </x:c>
      <x:c r="J57" s="53" t="str"/>
      <x:c r="K57" s="58"/>
      <x:c r="L57" s="52" t="str">
        <x:v>依需求確認口譯間與接收器、海報板尺寸及編號、簡報比例、計時提示、返送畫面、錄影與備份規格。</x:v>
      </x:c>
      <x:c r="M57" s="52" t="str">
        <x:v>查核表、測試紀錄或核准截圖</x:v>
      </x:c>
      <x:c r="N57" s="54" t="str"/>
      <x:c r="O57" s="56" t="str">
        <x:v>PM</x:v>
      </x:c>
      <x:c r="P57" s="57" t="str"/>
      <x:c r="Q57" s="52" t="str">
        <x:v>不適用時填寫原因，由 PM 確認後關閉</x:v>
      </x:c>
      <x:c r="R57" s="52" t="str"/>
    </x:row>
    <x:row r="58">
      <x:c r="A58" s="53" t="str"/>
      <x:c r="B58" s="51" t="str">
        <x:v>巡迴宣導／說明會、跨區多梯次活動</x:v>
      </x:c>
      <x:c r="C58" s="55" t="n">
        <x:v>54</x:v>
      </x:c>
      <x:c r="D58" s="55" t="str">
        <x:v>執行籌備</x:v>
      </x:c>
      <x:c r="E58" s="51" t="str">
        <x:v>後勤作業</x:v>
      </x:c>
      <x:c r="F58" s="55" t="str">
        <x:v>條件式</x:v>
      </x:c>
      <x:c r="G58" s="51" t="str">
        <x:v>安排跨區交通</x:v>
      </x:c>
      <x:c r="H58" s="51" t="str">
        <x:v>活動前 4 週</x:v>
      </x:c>
      <x:c r="I58" s="55" t="str">
        <x:v>Staff</x:v>
      </x:c>
      <x:c r="J58" s="53" t="str"/>
      <x:c r="K58" s="58"/>
      <x:c r="L58" s="52" t="str">
        <x:v>確認人員班次、接駁、車輛、司機與備案。</x:v>
      </x:c>
      <x:c r="M58" s="52" t="str">
        <x:v>核准文件、完成截圖或可追溯紀錄</x:v>
      </x:c>
      <x:c r="N58" s="54" t="str"/>
      <x:c r="O58" s="56" t="str">
        <x:v>PM</x:v>
      </x:c>
      <x:c r="P58" s="57" t="str"/>
      <x:c r="Q58" s="52" t="str">
        <x:v>不適用時填寫原因，由 PM 確認後關閉</x:v>
      </x:c>
      <x:c r="R58" s="52" t="str"/>
    </x:row>
    <x:row r="59">
      <x:c r="A59" s="53" t="str"/>
      <x:c r="B59" s="51" t="str">
        <x:v>巡迴宣導／說明會、跨區多梯次活動</x:v>
      </x:c>
      <x:c r="C59" s="55" t="n">
        <x:v>55</x:v>
      </x:c>
      <x:c r="D59" s="55" t="str">
        <x:v>執行籌備</x:v>
      </x:c>
      <x:c r="E59" s="51" t="str">
        <x:v>後勤作業</x:v>
      </x:c>
      <x:c r="F59" s="55" t="str">
        <x:v>條件式</x:v>
      </x:c>
      <x:c r="G59" s="51" t="str">
        <x:v>安排跨區住宿</x:v>
      </x:c>
      <x:c r="H59" s="51" t="str">
        <x:v>活動前 4 週</x:v>
      </x:c>
      <x:c r="I59" s="55" t="str">
        <x:v>Staff</x:v>
      </x:c>
      <x:c r="J59" s="53" t="str"/>
      <x:c r="K59" s="58"/>
      <x:c r="L59" s="52" t="str">
        <x:v>確認房型、名單、入住、付款與取消期限。</x:v>
      </x:c>
      <x:c r="M59" s="52" t="str">
        <x:v>核准文件、完成截圖或可追溯紀錄</x:v>
      </x:c>
      <x:c r="N59" s="54" t="str"/>
      <x:c r="O59" s="56" t="str">
        <x:v>PM</x:v>
      </x:c>
      <x:c r="P59" s="57" t="str"/>
      <x:c r="Q59" s="52" t="str">
        <x:v>不適用時填寫原因，由 PM 確認後關閉</x:v>
      </x:c>
      <x:c r="R59" s="52" t="str"/>
    </x:row>
    <x:row r="60">
      <x:c r="A60" s="53" t="str"/>
      <x:c r="B60" s="51" t="str">
        <x:v>研討會／論壇、教育訓練／工作坊、線上會議／直播講座</x:v>
      </x:c>
      <x:c r="C60" s="55" t="n">
        <x:v>56</x:v>
      </x:c>
      <x:c r="D60" s="55" t="str">
        <x:v>執行籌備</x:v>
      </x:c>
      <x:c r="E60" s="51" t="str">
        <x:v>後勤作業</x:v>
      </x:c>
      <x:c r="F60" s="55" t="str">
        <x:v>條件式</x:v>
      </x:c>
      <x:c r="G60" s="51" t="str">
        <x:v>安排講者交通</x:v>
      </x:c>
      <x:c r="H60" s="51" t="str">
        <x:v>活動前 4 週</x:v>
      </x:c>
      <x:c r="I60" s="55" t="str">
        <x:v>Staff</x:v>
      </x:c>
      <x:c r="J60" s="53" t="str"/>
      <x:c r="K60" s="58"/>
      <x:c r="L60" s="52" t="str">
        <x:v>確認班次、接送、司機、集合點與緊急聯絡。</x:v>
      </x:c>
      <x:c r="M60" s="52" t="str">
        <x:v>核准文件、完成截圖或可追溯紀錄</x:v>
      </x:c>
      <x:c r="N60" s="54" t="str"/>
      <x:c r="O60" s="56" t="str">
        <x:v>PM</x:v>
      </x:c>
      <x:c r="P60" s="57" t="str"/>
      <x:c r="Q60" s="52" t="str">
        <x:v>不適用時填寫原因，由 PM 確認後關閉</x:v>
      </x:c>
      <x:c r="R60" s="52" t="str"/>
    </x:row>
    <x:row r="61">
      <x:c r="A61" s="53" t="str"/>
      <x:c r="B61" s="51" t="str">
        <x:v>研討會／論壇、教育訓練／工作坊、線上會議／直播講座</x:v>
      </x:c>
      <x:c r="C61" s="55" t="n">
        <x:v>57</x:v>
      </x:c>
      <x:c r="D61" s="55" t="str">
        <x:v>執行籌備</x:v>
      </x:c>
      <x:c r="E61" s="51" t="str">
        <x:v>後勤作業</x:v>
      </x:c>
      <x:c r="F61" s="55" t="str">
        <x:v>條件式</x:v>
      </x:c>
      <x:c r="G61" s="51" t="str">
        <x:v>安排講者住宿</x:v>
      </x:c>
      <x:c r="H61" s="51" t="str">
        <x:v>活動前 4 週</x:v>
      </x:c>
      <x:c r="I61" s="55" t="str">
        <x:v>Staff</x:v>
      </x:c>
      <x:c r="J61" s="53" t="str"/>
      <x:c r="K61" s="58"/>
      <x:c r="L61" s="52" t="str">
        <x:v>確認房型、入住、退房、付款及特殊需求。</x:v>
      </x:c>
      <x:c r="M61" s="52" t="str">
        <x:v>核准文件、完成截圖或可追溯紀錄</x:v>
      </x:c>
      <x:c r="N61" s="54" t="str"/>
      <x:c r="O61" s="56" t="str">
        <x:v>PM</x:v>
      </x:c>
      <x:c r="P61" s="57" t="str"/>
      <x:c r="Q61" s="52" t="str">
        <x:v>不適用時填寫原因，由 PM 確認後關閉</x:v>
      </x:c>
      <x:c r="R61" s="52" t="str"/>
    </x:row>
    <x:row r="62">
      <x:c r="A62" s="53" t="str"/>
      <x:c r="B62" s="51" t="str">
        <x:v>研討會／論壇</x:v>
      </x:c>
      <x:c r="C62" s="55" t="n">
        <x:v>58</x:v>
      </x:c>
      <x:c r="D62" s="55" t="str">
        <x:v>執行籌備</x:v>
      </x:c>
      <x:c r="E62" s="51" t="str">
        <x:v>攤位聯絡</x:v>
      </x:c>
      <x:c r="F62" s="55" t="str">
        <x:v>條件式</x:v>
      </x:c>
      <x:c r="G62" s="51" t="str">
        <x:v>完成參展單位管理</x:v>
      </x:c>
      <x:c r="H62" s="51" t="str">
        <x:v>活動前 4 週</x:v>
      </x:c>
      <x:c r="I62" s="55" t="str">
        <x:v>Staff</x:v>
      </x:c>
      <x:c r="J62" s="53" t="str"/>
      <x:c r="K62" s="58"/>
      <x:c r="L62" s="52" t="str">
        <x:v>完成參展確認、合約、攤位手冊、用電網路、進撤場、證件及現場窗口彙整。</x:v>
      </x:c>
      <x:c r="M62" s="52" t="str">
        <x:v>核准文件、完成截圖或可追溯紀錄</x:v>
      </x:c>
      <x:c r="N62" s="54" t="str"/>
      <x:c r="O62" s="56" t="str">
        <x:v>PM</x:v>
      </x:c>
      <x:c r="P62" s="57" t="str"/>
      <x:c r="Q62" s="52" t="str">
        <x:v>不適用時填寫原因，由 PM 確認後關閉</x:v>
      </x:c>
      <x:c r="R62" s="52" t="str"/>
    </x:row>
    <x:row r="63">
      <x:c r="A63" s="53" t="str"/>
      <x:c r="B63" s="51" t="str">
        <x:v>展覽／攤位／園遊會、體驗／互動活動</x:v>
      </x:c>
      <x:c r="C63" s="55" t="n">
        <x:v>59</x:v>
      </x:c>
      <x:c r="D63" s="55" t="str">
        <x:v>執行籌備</x:v>
      </x:c>
      <x:c r="E63" s="51" t="str">
        <x:v>攤位聯絡</x:v>
      </x:c>
      <x:c r="F63" s="55" t="str">
        <x:v>條件式</x:v>
      </x:c>
      <x:c r="G63" s="51" t="str">
        <x:v>發送參展手冊</x:v>
      </x:c>
      <x:c r="H63" s="51" t="str">
        <x:v>活動前 4 週</x:v>
      </x:c>
      <x:c r="I63" s="55" t="str">
        <x:v>Staff</x:v>
      </x:c>
      <x:c r="J63" s="53" t="str"/>
      <x:c r="K63" s="58"/>
      <x:c r="L63" s="52" t="str">
        <x:v>說明視覺、用電、施工、進撤場及禁止事項。</x:v>
      </x:c>
      <x:c r="M63" s="52" t="str">
        <x:v>寄送紀錄與收件名單</x:v>
      </x:c>
      <x:c r="N63" s="54" t="str"/>
      <x:c r="O63" s="56" t="str">
        <x:v>PM</x:v>
      </x:c>
      <x:c r="P63" s="57" t="str"/>
      <x:c r="Q63" s="52" t="str">
        <x:v>不適用時填寫原因，由 PM 確認後關閉</x:v>
      </x:c>
      <x:c r="R63" s="52" t="str"/>
    </x:row>
    <x:row r="64">
      <x:c r="A64" s="53" t="str"/>
      <x:c r="B64" s="51" t="str">
        <x:v>展覽／攤位／園遊會</x:v>
      </x:c>
      <x:c r="C64" s="55" t="n">
        <x:v>60</x:v>
      </x:c>
      <x:c r="D64" s="55" t="str">
        <x:v>執行籌備</x:v>
      </x:c>
      <x:c r="E64" s="51" t="str">
        <x:v>攤位聯絡</x:v>
      </x:c>
      <x:c r="F64" s="55" t="str">
        <x:v>條件式</x:v>
      </x:c>
      <x:c r="G64" s="51" t="str">
        <x:v>確認展品與互動內容</x:v>
      </x:c>
      <x:c r="H64" s="51" t="str">
        <x:v>活動前 4 週</x:v>
      </x:c>
      <x:c r="I64" s="55" t="str">
        <x:v>PM</x:v>
      </x:c>
      <x:c r="J64" s="53" t="str"/>
      <x:c r="K64" s="58"/>
      <x:c r="L64" s="52" t="str">
        <x:v>確認展品清單、操作方式、展示權限、互動機制、排隊容量、工作人員話術及兒童或無障礙需求。</x:v>
      </x:c>
      <x:c r="M64" s="52" t="str">
        <x:v>照片／影片檔或交付連結</x:v>
      </x:c>
      <x:c r="N64" s="54" t="str"/>
      <x:c r="O64" s="56" t="str">
        <x:v>PM</x:v>
      </x:c>
      <x:c r="P64" s="57" t="str"/>
      <x:c r="Q64" s="52" t="str">
        <x:v>不適用時填寫原因，由 PM 確認後關閉</x:v>
      </x:c>
      <x:c r="R64" s="52" t="str"/>
    </x:row>
    <x:row r="65">
      <x:c r="A65" s="53" t="str"/>
      <x:c r="B65" s="51" t="str">
        <x:v>全部活動</x:v>
      </x:c>
      <x:c r="C65" s="55" t="n">
        <x:v>61</x:v>
      </x:c>
      <x:c r="D65" s="55" t="str">
        <x:v>執行籌備</x:v>
      </x:c>
      <x:c r="E65" s="51" t="str">
        <x:v>賓客接待</x:v>
      </x:c>
      <x:c r="F65" s="55" t="str">
        <x:v>必做</x:v>
      </x:c>
      <x:c r="G65" s="51" t="str">
        <x:v>建立報名名單</x:v>
      </x:c>
      <x:c r="H65" s="51" t="str">
        <x:v>活動前 3 週</x:v>
      </x:c>
      <x:c r="I65" s="55" t="str">
        <x:v>Staff</x:v>
      </x:c>
      <x:c r="J65" s="53" t="str"/>
      <x:c r="K65" s="58"/>
      <x:c r="L65" s="52" t="str">
        <x:v>統一欄位、編號、個資權限與更新責任人。</x:v>
      </x:c>
      <x:c r="M65" s="52" t="str">
        <x:v>最新版清單或核准文件</x:v>
      </x:c>
      <x:c r="N65" s="54" t="str"/>
      <x:c r="O65" s="56" t="str">
        <x:v>PM／主管</x:v>
      </x:c>
      <x:c r="P65" s="57" t="str"/>
      <x:c r="Q65" s="52" t="str">
        <x:v>原則不得略過；確需排除時，須註明原因並取得主管核准</x:v>
      </x:c>
      <x:c r="R65" s="52" t="str"/>
    </x:row>
    <x:row r="66">
      <x:c r="A66" s="53" t="str"/>
      <x:c r="B66" s="51" t="str">
        <x:v>研討會／論壇、一般會議／審查會、教育訓練／工作坊、展覽／攤位／園遊會、巡迴宣導／說明會、線上會議／直播講座</x:v>
      </x:c>
      <x:c r="C66" s="55" t="n">
        <x:v>62</x:v>
      </x:c>
      <x:c r="D66" s="55" t="str">
        <x:v>執行籌備</x:v>
      </x:c>
      <x:c r="E66" s="51" t="str">
        <x:v>週邊製作</x:v>
      </x:c>
      <x:c r="F66" s="55" t="str">
        <x:v>必做</x:v>
      </x:c>
      <x:c r="G66" s="51" t="str">
        <x:v>正式上線網站</x:v>
      </x:c>
      <x:c r="H66" s="51" t="str">
        <x:v>活動前 3 週</x:v>
      </x:c>
      <x:c r="I66" s="55" t="str">
        <x:v>PM</x:v>
      </x:c>
      <x:c r="J66" s="53" t="str"/>
      <x:c r="K66" s="58"/>
      <x:c r="L66" s="52" t="str">
        <x:v>確認網址、搜尋設定、追蹤碼與客服窗口。</x:v>
      </x:c>
      <x:c r="M66" s="52" t="str">
        <x:v>網址、權限截圖或測試紀錄</x:v>
      </x:c>
      <x:c r="N66" s="54" t="str"/>
      <x:c r="O66" s="56" t="str">
        <x:v>PM／主管</x:v>
      </x:c>
      <x:c r="P66" s="57" t="str"/>
      <x:c r="Q66" s="52" t="str">
        <x:v>原則不得略過；確需排除時，須註明原因並取得主管核准</x:v>
      </x:c>
      <x:c r="R66" s="52" t="str"/>
    </x:row>
    <x:row r="67">
      <x:c r="A67" s="53" t="str"/>
      <x:c r="B67" s="51" t="str">
        <x:v>巡迴宣導／說明會</x:v>
      </x:c>
      <x:c r="C67" s="55" t="n">
        <x:v>63</x:v>
      </x:c>
      <x:c r="D67" s="55" t="str">
        <x:v>執行籌備</x:v>
      </x:c>
      <x:c r="E67" s="51" t="str">
        <x:v>週邊製作</x:v>
      </x:c>
      <x:c r="F67" s="55" t="str">
        <x:v>必做</x:v>
      </x:c>
      <x:c r="G67" s="51" t="str">
        <x:v>完成各場教材版本</x:v>
      </x:c>
      <x:c r="H67" s="51" t="str">
        <x:v>活動前 3 週</x:v>
      </x:c>
      <x:c r="I67" s="55" t="str">
        <x:v>PM</x:v>
      </x:c>
      <x:c r="J67" s="53" t="str"/>
      <x:c r="K67" s="58"/>
      <x:c r="L67" s="52" t="str">
        <x:v>建立共用母版並標示各場日期、地名、案例、長官與合作單位差異；完成逐場版本表，避免錯場。</x:v>
      </x:c>
      <x:c r="M67" s="52" t="str">
        <x:v>核准文件、完成截圖或可追溯紀錄</x:v>
      </x:c>
      <x:c r="N67" s="54" t="str"/>
      <x:c r="O67" s="56" t="str">
        <x:v>PM／主管</x:v>
      </x:c>
      <x:c r="P67" s="57" t="str"/>
      <x:c r="Q67" s="52" t="str">
        <x:v>原則不得略過；確需排除時，須註明原因並取得主管核准</x:v>
      </x:c>
      <x:c r="R67" s="52" t="str"/>
    </x:row>
    <x:row r="68">
      <x:c r="A68" s="53" t="str"/>
      <x:c r="B68" s="51" t="str">
        <x:v>全部活動</x:v>
      </x:c>
      <x:c r="C68" s="55" t="n">
        <x:v>64</x:v>
      </x:c>
      <x:c r="D68" s="55" t="str">
        <x:v>執行籌備</x:v>
      </x:c>
      <x:c r="E68" s="51" t="str">
        <x:v>專業人員</x:v>
      </x:c>
      <x:c r="F68" s="55" t="str">
        <x:v>必做</x:v>
      </x:c>
      <x:c r="G68" s="51" t="str">
        <x:v>完成工作人員招募與訓練</x:v>
      </x:c>
      <x:c r="H68" s="51" t="str">
        <x:v>活動前 3 週</x:v>
      </x:c>
      <x:c r="I68" s="55" t="str">
        <x:v>PM</x:v>
      </x:c>
      <x:c r="J68" s="53" t="str"/>
      <x:c r="K68" s="58"/>
      <x:c r="L68" s="52" t="str">
        <x:v>依分站確認人數與替補，完成流程、話術、服裝、通訊及異常回報訓練。</x:v>
      </x:c>
      <x:c r="M68" s="52" t="str">
        <x:v>核准文件、完成截圖或可追溯紀錄</x:v>
      </x:c>
      <x:c r="N68" s="54" t="str"/>
      <x:c r="O68" s="56" t="str">
        <x:v>PM／主管</x:v>
      </x:c>
      <x:c r="P68" s="57" t="str"/>
      <x:c r="Q68" s="52" t="str">
        <x:v>原則不得略過；確需排除時，須註明原因並取得主管核准</x:v>
      </x:c>
      <x:c r="R68" s="52" t="str"/>
    </x:row>
    <x:row r="69">
      <x:c r="A69" s="53" t="str"/>
      <x:c r="B69" s="51" t="str">
        <x:v>記者會／媒體活動、典禮／頒獎／揭牌、展覽／攤位／園遊會、巡迴宣導／說明會</x:v>
      </x:c>
      <x:c r="C69" s="55" t="n">
        <x:v>65</x:v>
      </x:c>
      <x:c r="D69" s="55" t="str">
        <x:v>執行籌備</x:v>
      </x:c>
      <x:c r="E69" s="51" t="str">
        <x:v>媒體露出</x:v>
      </x:c>
      <x:c r="F69" s="55" t="str">
        <x:v>必做</x:v>
      </x:c>
      <x:c r="G69" s="51" t="str">
        <x:v>撰寫新聞稿</x:v>
      </x:c>
      <x:c r="H69" s="51" t="str">
        <x:v>活動前 3 週</x:v>
      </x:c>
      <x:c r="I69" s="55" t="str">
        <x:v>PM</x:v>
      </x:c>
      <x:c r="J69" s="53" t="str"/>
      <x:c r="K69" s="58"/>
      <x:c r="L69" s="52" t="str">
        <x:v>完成標題、導言、數據、引言、聯絡資訊與核稿。</x:v>
      </x:c>
      <x:c r="M69" s="52" t="str">
        <x:v>核准文件、完成截圖或可追溯紀錄</x:v>
      </x:c>
      <x:c r="N69" s="54" t="str"/>
      <x:c r="O69" s="56" t="str">
        <x:v>PM／主管</x:v>
      </x:c>
      <x:c r="P69" s="57" t="str"/>
      <x:c r="Q69" s="52" t="str">
        <x:v>原則不得略過；確需排除時，須註明原因並取得主管核准</x:v>
      </x:c>
      <x:c r="R69" s="52" t="str"/>
    </x:row>
    <x:row r="70">
      <x:c r="A70" s="53" t="str"/>
      <x:c r="B70" s="51" t="str">
        <x:v>記者會／媒體活動、典禮／頒獎／揭牌、展覽／攤位／園遊會、巡迴宣導／說明會</x:v>
      </x:c>
      <x:c r="C70" s="55" t="n">
        <x:v>66</x:v>
      </x:c>
      <x:c r="D70" s="55" t="str">
        <x:v>執行籌備</x:v>
      </x:c>
      <x:c r="E70" s="51" t="str">
        <x:v>媒體露出</x:v>
      </x:c>
      <x:c r="F70" s="55" t="str">
        <x:v>條件式</x:v>
      </x:c>
      <x:c r="G70" s="51" t="str">
        <x:v>建立媒體名單</x:v>
      </x:c>
      <x:c r="H70" s="51" t="str">
        <x:v>活動前 3 週</x:v>
      </x:c>
      <x:c r="I70" s="55" t="str">
        <x:v>Staff</x:v>
      </x:c>
      <x:c r="J70" s="53" t="str"/>
      <x:c r="K70" s="58"/>
      <x:c r="L70" s="52" t="str">
        <x:v>依議題與區域分級，確認記者及聯絡方式。</x:v>
      </x:c>
      <x:c r="M70" s="52" t="str">
        <x:v>最新版清單或核准文件</x:v>
      </x:c>
      <x:c r="N70" s="54" t="str"/>
      <x:c r="O70" s="56" t="str">
        <x:v>PM</x:v>
      </x:c>
      <x:c r="P70" s="57" t="str"/>
      <x:c r="Q70" s="52" t="str">
        <x:v>不適用時填寫原因，由 PM 確認後關閉</x:v>
      </x:c>
      <x:c r="R70" s="52" t="str"/>
    </x:row>
    <x:row r="71">
      <x:c r="A71" s="53" t="str"/>
      <x:c r="B71" s="51" t="str">
        <x:v>線上會議／直播講座</x:v>
      </x:c>
      <x:c r="C71" s="55" t="n">
        <x:v>67</x:v>
      </x:c>
      <x:c r="D71" s="55" t="str">
        <x:v>執行籌備</x:v>
      </x:c>
      <x:c r="E71" s="51" t="str">
        <x:v>直播作業</x:v>
      </x:c>
      <x:c r="F71" s="55" t="str">
        <x:v>必做</x:v>
      </x:c>
      <x:c r="G71" s="51" t="str">
        <x:v>建立會議連結</x:v>
      </x:c>
      <x:c r="H71" s="51" t="str">
        <x:v>活動前 2 週</x:v>
      </x:c>
      <x:c r="I71" s="55" t="str">
        <x:v>Staff</x:v>
      </x:c>
      <x:c r="J71" s="53" t="str"/>
      <x:c r="K71" s="58"/>
      <x:c r="L71" s="52" t="str">
        <x:v>建立正式與備援會議室，妥善管理主持連結。</x:v>
      </x:c>
      <x:c r="M71" s="52" t="str">
        <x:v>網址、權限截圖或測試紀錄</x:v>
      </x:c>
      <x:c r="N71" s="54" t="str"/>
      <x:c r="O71" s="56" t="str">
        <x:v>PM／主管</x:v>
      </x:c>
      <x:c r="P71" s="57" t="str"/>
      <x:c r="Q71" s="52" t="str">
        <x:v>原則不得略過；確需排除時，須註明原因並取得主管核准</x:v>
      </x:c>
      <x:c r="R71" s="52" t="str"/>
    </x:row>
    <x:row r="72">
      <x:c r="A72" s="53" t="str"/>
      <x:c r="B72" s="51" t="str">
        <x:v>教育訓練／工作坊</x:v>
      </x:c>
      <x:c r="C72" s="55" t="n">
        <x:v>68</x:v>
      </x:c>
      <x:c r="D72" s="55" t="str">
        <x:v>執行籌備</x:v>
      </x:c>
      <x:c r="E72" s="51" t="str">
        <x:v>週邊製作</x:v>
      </x:c>
      <x:c r="F72" s="55" t="str">
        <x:v>必做</x:v>
      </x:c>
      <x:c r="G72" s="51" t="str">
        <x:v>完成教材與實作環境</x:v>
      </x:c>
      <x:c r="H72" s="51" t="str">
        <x:v>活動前 2 週</x:v>
      </x:c>
      <x:c r="I72" s="55" t="str">
        <x:v>Staff</x:v>
      </x:c>
      <x:c r="J72" s="53" t="str"/>
      <x:c r="K72" s="58"/>
      <x:c r="L72" s="52" t="str">
        <x:v>完成教材校對、授權、印製或下載；測試帳號、軟體、網路、設備及學員分組，準備無法連線的替代方案。</x:v>
      </x:c>
      <x:c r="M72" s="52" t="str">
        <x:v>核准文件、完成截圖或可追溯紀錄</x:v>
      </x:c>
      <x:c r="N72" s="54" t="str"/>
      <x:c r="O72" s="56" t="str">
        <x:v>PM／主管</x:v>
      </x:c>
      <x:c r="P72" s="57" t="str"/>
      <x:c r="Q72" s="52" t="str">
        <x:v>原則不得略過；確需排除時，須註明原因並取得主管核准</x:v>
      </x:c>
      <x:c r="R72" s="52" t="str"/>
    </x:row>
    <x:row r="73">
      <x:c r="A73" s="53" t="str"/>
      <x:c r="B73" s="51" t="str">
        <x:v>全部活動</x:v>
      </x:c>
      <x:c r="C73" s="55" t="n">
        <x:v>69</x:v>
      </x:c>
      <x:c r="D73" s="55" t="str">
        <x:v>執行籌備</x:v>
      </x:c>
      <x:c r="E73" s="51" t="str">
        <x:v>週邊製作</x:v>
      </x:c>
      <x:c r="F73" s="55" t="str">
        <x:v>必做</x:v>
      </x:c>
      <x:c r="G73" s="51" t="str">
        <x:v>校對完稿並送印</x:v>
      </x:c>
      <x:c r="H73" s="51" t="str">
        <x:v>活動前 2 週</x:v>
      </x:c>
      <x:c r="I73" s="55" t="str">
        <x:v>Staff</x:v>
      </x:c>
      <x:c r="J73" s="53" t="str"/>
      <x:c r="K73" s="58"/>
      <x:c r="L73" s="52" t="str">
        <x:v>逐字校對人名職稱、日期時間、Logo、議程、QR Code 與尺寸出血；取得客戶最終版書面確認後才送印，記錄交貨時間。</x:v>
      </x:c>
      <x:c r="M73" s="52" t="str">
        <x:v>核准文件、完成截圖或可追溯紀錄</x:v>
      </x:c>
      <x:c r="N73" s="54" t="str"/>
      <x:c r="O73" s="56" t="str">
        <x:v>PM／主管</x:v>
      </x:c>
      <x:c r="P73" s="57" t="str"/>
      <x:c r="Q73" s="52" t="str">
        <x:v>原則不得略過；確需排除時，須註明原因並取得主管核准</x:v>
      </x:c>
      <x:c r="R73" s="52" t="str">
        <x:v>盤點物資與檔案</x:v>
      </x:c>
    </x:row>
    <x:row r="74">
      <x:c r="A74" s="53" t="str"/>
      <x:c r="B74" s="51" t="str">
        <x:v>典禮／頒獎／揭牌</x:v>
      </x:c>
      <x:c r="C74" s="55" t="n">
        <x:v>70</x:v>
      </x:c>
      <x:c r="D74" s="55" t="str">
        <x:v>執行籌備</x:v>
      </x:c>
      <x:c r="E74" s="51" t="str">
        <x:v>週邊製作</x:v>
      </x:c>
      <x:c r="F74" s="55" t="str">
        <x:v>必做</x:v>
      </x:c>
      <x:c r="G74" s="51" t="str">
        <x:v>確認儀式道具</x:v>
      </x:c>
      <x:c r="H74" s="51" t="str">
        <x:v>活動前 2 週</x:v>
      </x:c>
      <x:c r="I74" s="55" t="str">
        <x:v>Staff</x:v>
      </x:c>
      <x:c r="J74" s="53" t="str"/>
      <x:c r="K74" s="58"/>
      <x:c r="L74" s="52" t="str">
        <x:v>確認獎座、證書、揭牌、剪綵、啟動與備品。</x:v>
      </x:c>
      <x:c r="M74" s="52" t="str">
        <x:v>查核表、測試紀錄或核准截圖</x:v>
      </x:c>
      <x:c r="N74" s="54" t="str"/>
      <x:c r="O74" s="56" t="str">
        <x:v>PM／主管</x:v>
      </x:c>
      <x:c r="P74" s="57" t="str"/>
      <x:c r="Q74" s="52" t="str">
        <x:v>原則不得略過；確需排除時，須註明原因並取得主管核准</x:v>
      </x:c>
      <x:c r="R74" s="52" t="str"/>
    </x:row>
    <x:row r="75">
      <x:c r="A75" s="53" t="str"/>
      <x:c r="B75" s="51" t="str">
        <x:v>體驗／互動活動</x:v>
      </x:c>
      <x:c r="C75" s="55" t="n">
        <x:v>71</x:v>
      </x:c>
      <x:c r="D75" s="55" t="str">
        <x:v>執行籌備</x:v>
      </x:c>
      <x:c r="E75" s="51" t="str">
        <x:v>後勤作業</x:v>
      </x:c>
      <x:c r="F75" s="55" t="str">
        <x:v>必做</x:v>
      </x:c>
      <x:c r="G75" s="51" t="str">
        <x:v>測試設備與安全風險</x:v>
      </x:c>
      <x:c r="H75" s="51" t="str">
        <x:v>活動前 2 週</x:v>
      </x:c>
      <x:c r="I75" s="55" t="str">
        <x:v>PM</x:v>
      </x:c>
      <x:c r="J75" s="53" t="str"/>
      <x:c r="K75" s="58"/>
      <x:c r="L75" s="52" t="str">
        <x:v>完成壓力測試、耗材估算、消毒、跌落夾傷、過敏、兒童及戶外天候評估；準備停止營運條件與替代體驗。</x:v>
      </x:c>
      <x:c r="M75" s="52" t="str">
        <x:v>查核表、測試紀錄或核准截圖</x:v>
      </x:c>
      <x:c r="N75" s="54" t="str"/>
      <x:c r="O75" s="56" t="str">
        <x:v>PM／主管</x:v>
      </x:c>
      <x:c r="P75" s="57" t="str"/>
      <x:c r="Q75" s="52" t="str">
        <x:v>原則不得略過；確需排除時，須註明原因並取得主管核准</x:v>
      </x:c>
      <x:c r="R75" s="52" t="str"/>
    </x:row>
    <x:row r="76">
      <x:c r="A76" s="53" t="str"/>
      <x:c r="B76" s="51" t="str">
        <x:v>記者會／媒體活動</x:v>
      </x:c>
      <x:c r="C76" s="55" t="n">
        <x:v>72</x:v>
      </x:c>
      <x:c r="D76" s="55" t="str">
        <x:v>執行籌備</x:v>
      </x:c>
      <x:c r="E76" s="51" t="str">
        <x:v>媒體露出</x:v>
      </x:c>
      <x:c r="F76" s="55" t="str">
        <x:v>必做</x:v>
      </x:c>
      <x:c r="G76" s="51" t="str">
        <x:v>發送新聞稿與採訪通知</x:v>
      </x:c>
      <x:c r="H76" s="51" t="str">
        <x:v>活動前 2 週</x:v>
      </x:c>
      <x:c r="I76" s="55" t="str">
        <x:v>PM</x:v>
      </x:c>
      <x:c r="J76" s="53" t="str"/>
      <x:c r="K76" s="58"/>
      <x:c r="L76" s="52" t="str">
        <x:v>完成新聞稿、照片圖說、背景資料與媒體分級名單；寄發採訪通知並記錄回覆、器材與專訪需求。</x:v>
      </x:c>
      <x:c r="M76" s="52" t="str">
        <x:v>寄送紀錄與收件名單</x:v>
      </x:c>
      <x:c r="N76" s="54" t="str"/>
      <x:c r="O76" s="56" t="str">
        <x:v>PM／主管</x:v>
      </x:c>
      <x:c r="P76" s="57" t="str"/>
      <x:c r="Q76" s="52" t="str">
        <x:v>原則不得略過；確需排除時，須註明原因並取得主管核准</x:v>
      </x:c>
      <x:c r="R76" s="52" t="str"/>
    </x:row>
    <x:row r="77">
      <x:c r="A77" s="53" t="str"/>
      <x:c r="B77" s="51" t="str">
        <x:v>展覽／攤位／園遊會、體驗／互動活動</x:v>
      </x:c>
      <x:c r="C77" s="55" t="n">
        <x:v>73</x:v>
      </x:c>
      <x:c r="D77" s="55" t="str">
        <x:v>執行籌備</x:v>
      </x:c>
      <x:c r="E77" s="51" t="str">
        <x:v>攤位聯絡</x:v>
      </x:c>
      <x:c r="F77" s="55" t="str">
        <x:v>必做</x:v>
      </x:c>
      <x:c r="G77" s="51" t="str">
        <x:v>確認攤位用電</x:v>
      </x:c>
      <x:c r="H77" s="51" t="str">
        <x:v>活動前 2 週</x:v>
      </x:c>
      <x:c r="I77" s="55" t="str">
        <x:v>Staff</x:v>
      </x:c>
      <x:c r="J77" s="53" t="str"/>
      <x:c r="K77" s="58"/>
      <x:c r="L77" s="52" t="str">
        <x:v>逐攤確認瓦數、插座、獨立電源與加價。</x:v>
      </x:c>
      <x:c r="M77" s="52" t="str">
        <x:v>查核表、測試紀錄或核准截圖</x:v>
      </x:c>
      <x:c r="N77" s="54" t="str"/>
      <x:c r="O77" s="56" t="str">
        <x:v>PM／主管</x:v>
      </x:c>
      <x:c r="P77" s="57" t="str"/>
      <x:c r="Q77" s="52" t="str">
        <x:v>原則不得略過；確需排除時，須註明原因並取得主管核准</x:v>
      </x:c>
      <x:c r="R77" s="52" t="str"/>
    </x:row>
    <x:row r="78">
      <x:c r="A78" s="53" t="str"/>
      <x:c r="B78" s="51" t="str">
        <x:v>研討會／論壇、一般會議／審查會、教育訓練／工作坊、記者會／媒體活動、典禮／頒獎／揭牌</x:v>
      </x:c>
      <x:c r="C78" s="55" t="n">
        <x:v>74</x:v>
      </x:c>
      <x:c r="D78" s="55" t="str">
        <x:v>執行籌備</x:v>
      </x:c>
      <x:c r="E78" s="51" t="str">
        <x:v>專案統籌</x:v>
      </x:c>
      <x:c r="F78" s="55" t="str">
        <x:v>條件式</x:v>
      </x:c>
      <x:c r="G78" s="51" t="str">
        <x:v>撰寫長官致詞稿</x:v>
      </x:c>
      <x:c r="H78" s="51" t="str">
        <x:v>活動前 2 週</x:v>
      </x:c>
      <x:c r="I78" s="55" t="str">
        <x:v>PM</x:v>
      </x:c>
      <x:c r="J78" s="53" t="str"/>
      <x:c r="K78" s="58"/>
      <x:c r="L78" s="52" t="str">
        <x:v>確認字數、口徑、數據、人名職稱與核稿版本。</x:v>
      </x:c>
      <x:c r="M78" s="52" t="str">
        <x:v>核准文件、完成截圖或可追溯紀錄</x:v>
      </x:c>
      <x:c r="N78" s="54" t="str"/>
      <x:c r="O78" s="56" t="str">
        <x:v>PM</x:v>
      </x:c>
      <x:c r="P78" s="57" t="str"/>
      <x:c r="Q78" s="52" t="str">
        <x:v>不適用時填寫原因，由 PM 確認後關閉</x:v>
      </x:c>
      <x:c r="R78" s="52" t="str"/>
    </x:row>
    <x:row r="79">
      <x:c r="A79" s="53" t="str"/>
      <x:c r="B79" s="51" t="str">
        <x:v>研討會／論壇、教育訓練／工作坊、線上會議／直播講座</x:v>
      </x:c>
      <x:c r="C79" s="55" t="n">
        <x:v>75</x:v>
      </x:c>
      <x:c r="D79" s="55" t="str">
        <x:v>執行籌備</x:v>
      </x:c>
      <x:c r="E79" s="51" t="str">
        <x:v>講師溝通</x:v>
      </x:c>
      <x:c r="F79" s="55" t="str">
        <x:v>條件式</x:v>
      </x:c>
      <x:c r="G79" s="51" t="str">
        <x:v>簽署錄影授權</x:v>
      </x:c>
      <x:c r="H79" s="51" t="str">
        <x:v>活動前 2 週</x:v>
      </x:c>
      <x:c r="I79" s="55" t="str">
        <x:v>Staff</x:v>
      </x:c>
      <x:c r="J79" s="53" t="str"/>
      <x:c r="K79" s="58"/>
      <x:c r="L79" s="52" t="str">
        <x:v>確認錄影、直播、剪輯及公開使用範圍。</x:v>
      </x:c>
      <x:c r="M79" s="52" t="str">
        <x:v>照片／影片檔或交付連結</x:v>
      </x:c>
      <x:c r="N79" s="54" t="str"/>
      <x:c r="O79" s="56" t="str">
        <x:v>PM</x:v>
      </x:c>
      <x:c r="P79" s="57" t="str"/>
      <x:c r="Q79" s="52" t="str">
        <x:v>不適用時填寫原因，由 PM 確認後關閉</x:v>
      </x:c>
      <x:c r="R79" s="52" t="str"/>
    </x:row>
    <x:row r="80">
      <x:c r="A80" s="53" t="str"/>
      <x:c r="B80" s="51" t="str">
        <x:v>研討會／論壇、一般會議／審查會、教育訓練／工作坊、記者會／媒體活動、典禮／頒獎／揭牌</x:v>
      </x:c>
      <x:c r="C80" s="55" t="n">
        <x:v>76</x:v>
      </x:c>
      <x:c r="D80" s="55" t="str">
        <x:v>執行籌備</x:v>
      </x:c>
      <x:c r="E80" s="51" t="str">
        <x:v>賓客接待</x:v>
      </x:c>
      <x:c r="F80" s="55" t="str">
        <x:v>條件式</x:v>
      </x:c>
      <x:c r="G80" s="51" t="str">
        <x:v>確認貴賓交通</x:v>
      </x:c>
      <x:c r="H80" s="51" t="str">
        <x:v>活動前 2 週</x:v>
      </x:c>
      <x:c r="I80" s="55" t="str">
        <x:v>Staff</x:v>
      </x:c>
      <x:c r="J80" s="53" t="str"/>
      <x:c r="K80" s="58"/>
      <x:c r="L80" s="52" t="str">
        <x:v>確認車號、司機、抵達時間、車位及引導人。</x:v>
      </x:c>
      <x:c r="M80" s="52" t="str">
        <x:v>查核表、測試紀錄或核准截圖</x:v>
      </x:c>
      <x:c r="N80" s="54" t="str"/>
      <x:c r="O80" s="56" t="str">
        <x:v>PM</x:v>
      </x:c>
      <x:c r="P80" s="57" t="str"/>
      <x:c r="Q80" s="52" t="str">
        <x:v>不適用時填寫原因，由 PM 確認後關閉</x:v>
      </x:c>
      <x:c r="R80" s="52" t="str"/>
    </x:row>
    <x:row r="81">
      <x:c r="A81" s="53" t="str"/>
      <x:c r="B81" s="51" t="str">
        <x:v>全部活動</x:v>
      </x:c>
      <x:c r="C81" s="55" t="n">
        <x:v>77</x:v>
      </x:c>
      <x:c r="D81" s="55" t="str">
        <x:v>執行籌備</x:v>
      </x:c>
      <x:c r="E81" s="51" t="str">
        <x:v>餐點安排</x:v>
      </x:c>
      <x:c r="F81" s="55" t="str">
        <x:v>條件式</x:v>
      </x:c>
      <x:c r="G81" s="51" t="str">
        <x:v>確認餐飲數量與特殊需求</x:v>
      </x:c>
      <x:c r="H81" s="51" t="str">
        <x:v>活動前 2 週</x:v>
      </x:c>
      <x:c r="I81" s="55" t="str">
        <x:v>Staff</x:v>
      </x:c>
      <x:c r="J81" s="53" t="str"/>
      <x:c r="K81" s="58"/>
      <x:c r="L81" s="52" t="str">
        <x:v>確認各時段份數，彙整葷素、過敏、宗教及其他特殊需求。</x:v>
      </x:c>
      <x:c r="M81" s="52" t="str">
        <x:v>查核表、測試紀錄或核准截圖</x:v>
      </x:c>
      <x:c r="N81" s="54" t="str"/>
      <x:c r="O81" s="56" t="str">
        <x:v>PM</x:v>
      </x:c>
      <x:c r="P81" s="57" t="str"/>
      <x:c r="Q81" s="52" t="str">
        <x:v>不適用時填寫原因，由 PM 確認後關閉</x:v>
      </x:c>
      <x:c r="R81" s="52" t="str"/>
    </x:row>
    <x:row r="82">
      <x:c r="A82" s="53" t="str"/>
      <x:c r="B82" s="51" t="str">
        <x:v>典禮／頒獎／揭牌</x:v>
      </x:c>
      <x:c r="C82" s="55" t="n">
        <x:v>78</x:v>
      </x:c>
      <x:c r="D82" s="55" t="str">
        <x:v>執行籌備</x:v>
      </x:c>
      <x:c r="E82" s="51" t="str">
        <x:v>專業人員</x:v>
      </x:c>
      <x:c r="F82" s="55" t="str">
        <x:v>條件式</x:v>
      </x:c>
      <x:c r="G82" s="51" t="str">
        <x:v>安排禮賓人員</x:v>
      </x:c>
      <x:c r="H82" s="51" t="str">
        <x:v>活動前 2 週</x:v>
      </x:c>
      <x:c r="I82" s="55" t="str">
        <x:v>PM</x:v>
      </x:c>
      <x:c r="J82" s="53" t="str"/>
      <x:c r="K82" s="58"/>
      <x:c r="L82" s="52" t="str">
        <x:v>確認人數、服裝、站位、手勢、輪班與帶隊。</x:v>
      </x:c>
      <x:c r="M82" s="52" t="str">
        <x:v>核准文件、完成截圖或可追溯紀錄</x:v>
      </x:c>
      <x:c r="N82" s="54" t="str"/>
      <x:c r="O82" s="56" t="str">
        <x:v>PM</x:v>
      </x:c>
      <x:c r="P82" s="57" t="str"/>
      <x:c r="Q82" s="52" t="str">
        <x:v>不適用時填寫原因，由 PM 確認後關閉</x:v>
      </x:c>
      <x:c r="R82" s="52" t="str"/>
    </x:row>
    <x:row r="83">
      <x:c r="A83" s="53" t="str"/>
      <x:c r="B83" s="51" t="str">
        <x:v>研討會／論壇、一般會議／審查會</x:v>
      </x:c>
      <x:c r="C83" s="55" t="n">
        <x:v>79</x:v>
      </x:c>
      <x:c r="D83" s="55" t="str">
        <x:v>執行籌備</x:v>
      </x:c>
      <x:c r="E83" s="51" t="str">
        <x:v>後勤作業</x:v>
      </x:c>
      <x:c r="F83" s="55" t="str">
        <x:v>條件式</x:v>
      </x:c>
      <x:c r="G83" s="51" t="str">
        <x:v>完成 City Tour 行前安排</x:v>
      </x:c>
      <x:c r="H83" s="51" t="str">
        <x:v>活動前 2 週</x:v>
      </x:c>
      <x:c r="I83" s="55" t="str">
        <x:v>Staff</x:v>
      </x:c>
      <x:c r="J83" s="53" t="str"/>
      <x:c r="K83" s="58"/>
      <x:c r="L83" s="52" t="str">
        <x:v>整合報名名單、交通、導覽、餐飲、門票、保險、無障礙需求與行前通知。</x:v>
      </x:c>
      <x:c r="M83" s="52" t="str">
        <x:v>核准文件、完成截圖或可追溯紀錄</x:v>
      </x:c>
      <x:c r="N83" s="54" t="str"/>
      <x:c r="O83" s="56" t="str">
        <x:v>PM</x:v>
      </x:c>
      <x:c r="P83" s="57" t="str"/>
      <x:c r="Q83" s="52" t="str">
        <x:v>不適用時填寫原因，由 PM 確認後關閉</x:v>
      </x:c>
      <x:c r="R83" s="52" t="str"/>
    </x:row>
    <x:row r="84">
      <x:c r="A84" s="53" t="str"/>
      <x:c r="B84" s="51" t="str">
        <x:v>展覽／攤位／園遊會、體驗／互動活動</x:v>
      </x:c>
      <x:c r="C84" s="55" t="n">
        <x:v>80</x:v>
      </x:c>
      <x:c r="D84" s="55" t="str">
        <x:v>執行籌備</x:v>
      </x:c>
      <x:c r="E84" s="51" t="str">
        <x:v>攤位聯絡</x:v>
      </x:c>
      <x:c r="F84" s="55" t="str">
        <x:v>條件式</x:v>
      </x:c>
      <x:c r="G84" s="51" t="str">
        <x:v>確認展品清單</x:v>
      </x:c>
      <x:c r="H84" s="51" t="str">
        <x:v>活動前 2 週</x:v>
      </x:c>
      <x:c r="I84" s="55" t="str">
        <x:v>Staff</x:v>
      </x:c>
      <x:c r="J84" s="53" t="str"/>
      <x:c r="K84" s="58"/>
      <x:c r="L84" s="52" t="str">
        <x:v>記錄展品、數量、價值、操作、保管與回收。</x:v>
      </x:c>
      <x:c r="M84" s="52" t="str">
        <x:v>照片／影片檔或交付連結</x:v>
      </x:c>
      <x:c r="N84" s="54" t="str"/>
      <x:c r="O84" s="56" t="str">
        <x:v>PM</x:v>
      </x:c>
      <x:c r="P84" s="57" t="str"/>
      <x:c r="Q84" s="52" t="str">
        <x:v>不適用時填寫原因，由 PM 確認後關閉</x:v>
      </x:c>
      <x:c r="R84" s="52" t="str"/>
    </x:row>
    <x:row r="85">
      <x:c r="A85" s="53" t="str"/>
      <x:c r="B85" s="51" t="str">
        <x:v>全部活動</x:v>
      </x:c>
      <x:c r="C85" s="55" t="n">
        <x:v>81</x:v>
      </x:c>
      <x:c r="D85" s="55" t="str">
        <x:v>行前準備</x:v>
      </x:c>
      <x:c r="E85" s="51" t="str">
        <x:v>專案統籌</x:v>
      </x:c>
      <x:c r="F85" s="55" t="str">
        <x:v>必做</x:v>
      </x:c>
      <x:c r="G85" s="51" t="str">
        <x:v>完成執行與應變手冊</x:v>
      </x:c>
      <x:c r="H85" s="51" t="str">
        <x:v>活動前 1.5 週</x:v>
      </x:c>
      <x:c r="I85" s="55" t="str">
        <x:v>PM</x:v>
      </x:c>
      <x:c r="J85" s="53" t="str"/>
      <x:c r="K85" s="58"/>
      <x:c r="L85" s="52" t="str">
        <x:v>完成執行手冊、布場表、全員聯絡表、對講機表、緊急通報、醫護消防、停電斷網、設備故障、天候與人員缺席備案。</x:v>
      </x:c>
      <x:c r="M85" s="52" t="str">
        <x:v>核准文件、完成截圖或可追溯紀錄</x:v>
      </x:c>
      <x:c r="N85" s="54" t="str"/>
      <x:c r="O85" s="56" t="str">
        <x:v>PM／主管</x:v>
      </x:c>
      <x:c r="P85" s="57" t="str"/>
      <x:c r="Q85" s="52" t="str">
        <x:v>原則不得略過；確需排除時，須註明原因並取得主管核准</x:v>
      </x:c>
      <x:c r="R85" s="52" t="str">
        <x:v>完成進場測試與彩排</x:v>
      </x:c>
    </x:row>
    <x:row r="86">
      <x:c r="A86" s="53" t="str"/>
      <x:c r="B86" s="51" t="str">
        <x:v>典禮／頒獎／揭牌</x:v>
      </x:c>
      <x:c r="C86" s="55" t="n">
        <x:v>82</x:v>
      </x:c>
      <x:c r="D86" s="55" t="str">
        <x:v>行前準備</x:v>
      </x:c>
      <x:c r="E86" s="51" t="str">
        <x:v>專案統籌</x:v>
      </x:c>
      <x:c r="F86" s="55" t="str">
        <x:v>必做</x:v>
      </x:c>
      <x:c r="G86" s="51" t="str">
        <x:v>完成司儀稿</x:v>
      </x:c>
      <x:c r="H86" s="51" t="str">
        <x:v>活動前 1 週</x:v>
      </x:c>
      <x:c r="I86" s="55" t="str">
        <x:v>PM</x:v>
      </x:c>
      <x:c r="J86" s="53" t="str"/>
      <x:c r="K86" s="58"/>
      <x:c r="L86" s="52" t="str">
        <x:v>完成流程、稱謂、轉場、口令、備案與核稿。</x:v>
      </x:c>
      <x:c r="M86" s="52" t="str">
        <x:v>核准文件、完成截圖或可追溯紀錄</x:v>
      </x:c>
      <x:c r="N86" s="54" t="str"/>
      <x:c r="O86" s="56" t="str">
        <x:v>PM／主管</x:v>
      </x:c>
      <x:c r="P86" s="57" t="str"/>
      <x:c r="Q86" s="52" t="str">
        <x:v>原則不得略過；確需排除時，須註明原因並取得主管核准</x:v>
      </x:c>
      <x:c r="R86" s="52" t="str"/>
    </x:row>
    <x:row r="87">
      <x:c r="A87" s="53" t="str"/>
      <x:c r="B87" s="51" t="str">
        <x:v>全部活動</x:v>
      </x:c>
      <x:c r="C87" s="55" t="n">
        <x:v>83</x:v>
      </x:c>
      <x:c r="D87" s="55" t="str">
        <x:v>行前準備</x:v>
      </x:c>
      <x:c r="E87" s="51" t="str">
        <x:v>專案統籌</x:v>
      </x:c>
      <x:c r="F87" s="55" t="str">
        <x:v>必做</x:v>
      </x:c>
      <x:c r="G87" s="51" t="str">
        <x:v>建立全員通訊錄</x:v>
      </x:c>
      <x:c r="H87" s="51" t="str">
        <x:v>活動前 1 週</x:v>
      </x:c>
      <x:c r="I87" s="55" t="str">
        <x:v>Staff</x:v>
      </x:c>
      <x:c r="J87" s="53" t="str"/>
      <x:c r="K87" s="58"/>
      <x:c r="L87" s="52" t="str">
        <x:v>包含客戶、場地、廠商、工作人員及緊急窗口。</x:v>
      </x:c>
      <x:c r="M87" s="52" t="str">
        <x:v>最新版清單或核准文件</x:v>
      </x:c>
      <x:c r="N87" s="54" t="str"/>
      <x:c r="O87" s="56" t="str">
        <x:v>PM／主管</x:v>
      </x:c>
      <x:c r="P87" s="57" t="str"/>
      <x:c r="Q87" s="52" t="str">
        <x:v>原則不得略過；確需排除時，須註明原因並取得主管核准</x:v>
      </x:c>
      <x:c r="R87" s="52" t="str"/>
    </x:row>
    <x:row r="88">
      <x:c r="A88" s="53" t="str"/>
      <x:c r="B88" s="51" t="str">
        <x:v>一般會議／審查會</x:v>
      </x:c>
      <x:c r="C88" s="55" t="n">
        <x:v>84</x:v>
      </x:c>
      <x:c r="D88" s="55" t="str">
        <x:v>行前準備</x:v>
      </x:c>
      <x:c r="E88" s="51" t="str">
        <x:v>專案統籌</x:v>
      </x:c>
      <x:c r="F88" s="55" t="str">
        <x:v>必做</x:v>
      </x:c>
      <x:c r="G88" s="51" t="str">
        <x:v>送達會議與審查資料</x:v>
      </x:c>
      <x:c r="H88" s="51" t="str">
        <x:v>活動前 1 週</x:v>
      </x:c>
      <x:c r="I88" s="55" t="str">
        <x:v>Staff</x:v>
      </x:c>
      <x:c r="J88" s="53" t="str"/>
      <x:c r="K88" s="58"/>
      <x:c r="L88" s="52" t="str">
        <x:v>依期限完成版本控管、頁碼與附件校對，確認與會者成功收件；敏感文件設定權限並準備紙本備份。</x:v>
      </x:c>
      <x:c r="M88" s="52" t="str">
        <x:v>核准文件、完成截圖或可追溯紀錄</x:v>
      </x:c>
      <x:c r="N88" s="54" t="str"/>
      <x:c r="O88" s="56" t="str">
        <x:v>PM／主管</x:v>
      </x:c>
      <x:c r="P88" s="57" t="str"/>
      <x:c r="Q88" s="52" t="str">
        <x:v>原則不得略過；確需排除時，須註明原因並取得主管核准</x:v>
      </x:c>
      <x:c r="R88" s="52" t="str"/>
    </x:row>
    <x:row r="89">
      <x:c r="A89" s="53" t="str"/>
      <x:c r="B89" s="51" t="str">
        <x:v>線上會議／直播講座</x:v>
      </x:c>
      <x:c r="C89" s="55" t="n">
        <x:v>85</x:v>
      </x:c>
      <x:c r="D89" s="55" t="str">
        <x:v>行前準備</x:v>
      </x:c>
      <x:c r="E89" s="51" t="str">
        <x:v>直播作業</x:v>
      </x:c>
      <x:c r="F89" s="55" t="str">
        <x:v>必做</x:v>
      </x:c>
      <x:c r="G89" s="51" t="str">
        <x:v>完成線上平台全流程測試</x:v>
      </x:c>
      <x:c r="H89" s="51" t="str">
        <x:v>活動前 1 週</x:v>
      </x:c>
      <x:c r="I89" s="55" t="str">
        <x:v>Staff</x:v>
      </x:c>
      <x:c r="J89" s="53" t="str"/>
      <x:c r="K89" s="58"/>
      <x:c r="L89" s="52" t="str">
        <x:v>測試講者連線、與會者操作、共享影音、錄影及備援流程。</x:v>
      </x:c>
      <x:c r="M89" s="52" t="str">
        <x:v>查核表、測試紀錄或核准截圖</x:v>
      </x:c>
      <x:c r="N89" s="54" t="str"/>
      <x:c r="O89" s="56" t="str">
        <x:v>PM／主管</x:v>
      </x:c>
      <x:c r="P89" s="57" t="str"/>
      <x:c r="Q89" s="52" t="str">
        <x:v>原則不得略過；確需排除時，須註明原因並取得主管核准</x:v>
      </x:c>
      <x:c r="R89" s="52" t="str"/>
    </x:row>
    <x:row r="90">
      <x:c r="A90" s="53" t="str"/>
      <x:c r="B90" s="51" t="str">
        <x:v>線上會議／直播講座</x:v>
      </x:c>
      <x:c r="C90" s="55" t="n">
        <x:v>86</x:v>
      </x:c>
      <x:c r="D90" s="55" t="str">
        <x:v>行前準備</x:v>
      </x:c>
      <x:c r="E90" s="51" t="str">
        <x:v>直播作業</x:v>
      </x:c>
      <x:c r="F90" s="55" t="str">
        <x:v>必做</x:v>
      </x:c>
      <x:c r="G90" s="51" t="str">
        <x:v>完成講者連線測試</x:v>
      </x:c>
      <x:c r="H90" s="51" t="str">
        <x:v>活動前 1 週</x:v>
      </x:c>
      <x:c r="I90" s="55" t="str">
        <x:v>Staff</x:v>
      </x:c>
      <x:c r="J90" s="53" t="str"/>
      <x:c r="K90" s="58"/>
      <x:c r="L90" s="52" t="str">
        <x:v>逐位測試網路、鏡頭、收音、燈光、共享、影片聲音、姓名職稱與背景；記錄設備和備援聯絡方式。</x:v>
      </x:c>
      <x:c r="M90" s="52" t="str">
        <x:v>查核表、測試紀錄或核准截圖</x:v>
      </x:c>
      <x:c r="N90" s="54" t="str"/>
      <x:c r="O90" s="56" t="str">
        <x:v>PM／主管</x:v>
      </x:c>
      <x:c r="P90" s="57" t="str"/>
      <x:c r="Q90" s="52" t="str">
        <x:v>原則不得略過；確需排除時，須註明原因並取得主管核准</x:v>
      </x:c>
      <x:c r="R90" s="52" t="str"/>
    </x:row>
    <x:row r="91">
      <x:c r="A91" s="53" t="str"/>
      <x:c r="B91" s="51" t="str">
        <x:v>研討會／論壇、教育訓練／工作坊、線上會議／直播講座</x:v>
      </x:c>
      <x:c r="C91" s="55" t="n">
        <x:v>87</x:v>
      </x:c>
      <x:c r="D91" s="55" t="str">
        <x:v>行前準備</x:v>
      </x:c>
      <x:c r="E91" s="51" t="str">
        <x:v>講師溝通</x:v>
      </x:c>
      <x:c r="F91" s="55" t="str">
        <x:v>必做</x:v>
      </x:c>
      <x:c r="G91" s="51" t="str">
        <x:v>收齊講者簡報</x:v>
      </x:c>
      <x:c r="H91" s="51" t="str">
        <x:v>活動前 1 週</x:v>
      </x:c>
      <x:c r="I91" s="55" t="str">
        <x:v>Staff</x:v>
      </x:c>
      <x:c r="J91" s="53" t="str"/>
      <x:c r="K91" s="58"/>
      <x:c r="L91" s="52" t="str">
        <x:v>追蹤收件、版本、比例、字型與影音檔。</x:v>
      </x:c>
      <x:c r="M91" s="52" t="str">
        <x:v>核准文件、完成截圖或可追溯紀錄</x:v>
      </x:c>
      <x:c r="N91" s="54" t="str"/>
      <x:c r="O91" s="56" t="str">
        <x:v>PM／主管</x:v>
      </x:c>
      <x:c r="P91" s="57" t="str"/>
      <x:c r="Q91" s="52" t="str">
        <x:v>原則不得略過；確需排除時，須註明原因並取得主管核准</x:v>
      </x:c>
      <x:c r="R91" s="52" t="str"/>
    </x:row>
    <x:row r="92">
      <x:c r="A92" s="53" t="str"/>
      <x:c r="B92" s="51" t="str">
        <x:v>研討會／論壇、一般會議／審查會、教育訓練／工作坊、記者會／媒體活動、典禮／頒獎／揭牌</x:v>
      </x:c>
      <x:c r="C92" s="55" t="n">
        <x:v>88</x:v>
      </x:c>
      <x:c r="D92" s="55" t="str">
        <x:v>行前準備</x:v>
      </x:c>
      <x:c r="E92" s="51" t="str">
        <x:v>賓客接待</x:v>
      </x:c>
      <x:c r="F92" s="55" t="str">
        <x:v>必做</x:v>
      </x:c>
      <x:c r="G92" s="51" t="str">
        <x:v>確認貴賓座位</x:v>
      </x:c>
      <x:c r="H92" s="51" t="str">
        <x:v>活動前 1 週</x:v>
      </x:c>
      <x:c r="I92" s="55" t="str">
        <x:v>PM</x:v>
      </x:c>
      <x:c r="J92" s="53" t="str"/>
      <x:c r="K92" s="58"/>
      <x:c r="L92" s="52" t="str">
        <x:v>完成座位圖、桌卡、引導路線及臨時異動方式。</x:v>
      </x:c>
      <x:c r="M92" s="52" t="str">
        <x:v>查核表、測試紀錄或核准截圖</x:v>
      </x:c>
      <x:c r="N92" s="54" t="str"/>
      <x:c r="O92" s="56" t="str">
        <x:v>PM／主管</x:v>
      </x:c>
      <x:c r="P92" s="57" t="str"/>
      <x:c r="Q92" s="52" t="str">
        <x:v>原則不得略過；確需排除時，須註明原因並取得主管核准</x:v>
      </x:c>
      <x:c r="R92" s="52" t="str"/>
    </x:row>
    <x:row r="93">
      <x:c r="A93" s="53" t="str"/>
      <x:c r="B93" s="51" t="str">
        <x:v>典禮／頒獎／揭牌</x:v>
      </x:c>
      <x:c r="C93" s="55" t="n">
        <x:v>89</x:v>
      </x:c>
      <x:c r="D93" s="55" t="str">
        <x:v>行前準備</x:v>
      </x:c>
      <x:c r="E93" s="51" t="str">
        <x:v>賓客接待</x:v>
      </x:c>
      <x:c r="F93" s="55" t="str">
        <x:v>必做</x:v>
      </x:c>
      <x:c r="G93" s="51" t="str">
        <x:v>編排上台順序</x:v>
      </x:c>
      <x:c r="H93" s="51" t="str">
        <x:v>活動前 1 週</x:v>
      </x:c>
      <x:c r="I93" s="55" t="str">
        <x:v>PM</x:v>
      </x:c>
      <x:c r="J93" s="53" t="str"/>
      <x:c r="K93" s="58"/>
      <x:c r="L93" s="52" t="str">
        <x:v>確認引導、站位、遞交、合照與退場。</x:v>
      </x:c>
      <x:c r="M93" s="52" t="str">
        <x:v>核准文件、完成截圖或可追溯紀錄</x:v>
      </x:c>
      <x:c r="N93" s="54" t="str"/>
      <x:c r="O93" s="56" t="str">
        <x:v>PM／主管</x:v>
      </x:c>
      <x:c r="P93" s="57" t="str"/>
      <x:c r="Q93" s="52" t="str">
        <x:v>原則不得略過；確需排除時，須註明原因並取得主管核准</x:v>
      </x:c>
      <x:c r="R93" s="52" t="str"/>
    </x:row>
    <x:row r="94">
      <x:c r="A94" s="53" t="str"/>
      <x:c r="B94" s="51" t="str">
        <x:v>典禮／頒獎／揭牌</x:v>
      </x:c>
      <x:c r="C94" s="55" t="n">
        <x:v>90</x:v>
      </x:c>
      <x:c r="D94" s="55" t="str">
        <x:v>行前準備</x:v>
      </x:c>
      <x:c r="E94" s="51" t="str">
        <x:v>週邊製作</x:v>
      </x:c>
      <x:c r="F94" s="55" t="str">
        <x:v>必做</x:v>
      </x:c>
      <x:c r="G94" s="51" t="str">
        <x:v>驗收獎座與儀式道具</x:v>
      </x:c>
      <x:c r="H94" s="51" t="str">
        <x:v>活動前 1 週</x:v>
      </x:c>
      <x:c r="I94" s="55" t="str">
        <x:v>Staff</x:v>
      </x:c>
      <x:c r="J94" s="53" t="str"/>
      <x:c r="K94" s="58"/>
      <x:c r="L94" s="52" t="str">
        <x:v>逐件核對姓名、職稱、順序與外觀；依上台順序裝箱編號，完成啟動裝置及備品測試。</x:v>
      </x:c>
      <x:c r="M94" s="52" t="str">
        <x:v>查核表、測試紀錄或核准截圖</x:v>
      </x:c>
      <x:c r="N94" s="54" t="str"/>
      <x:c r="O94" s="56" t="str">
        <x:v>PM／主管</x:v>
      </x:c>
      <x:c r="P94" s="57" t="str"/>
      <x:c r="Q94" s="52" t="str">
        <x:v>原則不得略過；確需排除時，須註明原因並取得主管核准</x:v>
      </x:c>
      <x:c r="R94" s="52" t="str"/>
    </x:row>
    <x:row r="95">
      <x:c r="A95" s="53" t="str"/>
      <x:c r="B95" s="51" t="str">
        <x:v>巡迴宣導／說明會、跨區多梯次活動</x:v>
      </x:c>
      <x:c r="C95" s="55" t="n">
        <x:v>91</x:v>
      </x:c>
      <x:c r="D95" s="55" t="str">
        <x:v>行前準備</x:v>
      </x:c>
      <x:c r="E95" s="51" t="str">
        <x:v>後勤作業</x:v>
      </x:c>
      <x:c r="F95" s="55" t="str">
        <x:v>必做</x:v>
      </x:c>
      <x:c r="G95" s="51" t="str">
        <x:v>分裝場次物資</x:v>
      </x:c>
      <x:c r="H95" s="51" t="str">
        <x:v>活動前 1 週</x:v>
      </x:c>
      <x:c r="I95" s="55" t="str">
        <x:v>Staff</x:v>
      </x:c>
      <x:c r="J95" s="53" t="str"/>
      <x:c r="K95" s="58"/>
      <x:c r="L95" s="52" t="str">
        <x:v>依場次分箱、貼標、拍照並記錄去向。</x:v>
      </x:c>
      <x:c r="M95" s="52" t="str">
        <x:v>核准文件、完成截圖或可追溯紀錄</x:v>
      </x:c>
      <x:c r="N95" s="54" t="str"/>
      <x:c r="O95" s="56" t="str">
        <x:v>PM／主管</x:v>
      </x:c>
      <x:c r="P95" s="57" t="str"/>
      <x:c r="Q95" s="52" t="str">
        <x:v>原則不得略過；確需排除時，須註明原因並取得主管核准</x:v>
      </x:c>
      <x:c r="R95" s="52" t="str"/>
    </x:row>
    <x:row r="96">
      <x:c r="A96" s="53" t="str"/>
      <x:c r="B96" s="51" t="str">
        <x:v>巡迴宣導／說明會</x:v>
      </x:c>
      <x:c r="C96" s="55" t="n">
        <x:v>92</x:v>
      </x:c>
      <x:c r="D96" s="55" t="str">
        <x:v>行前準備</x:v>
      </x:c>
      <x:c r="E96" s="51" t="str">
        <x:v>後勤作業</x:v>
      </x:c>
      <x:c r="F96" s="55" t="str">
        <x:v>必做</x:v>
      </x:c>
      <x:c r="G96" s="51" t="str">
        <x:v>安排巡迴物資與運輸</x:v>
      </x:c>
      <x:c r="H96" s="51" t="str">
        <x:v>活動前 1 週</x:v>
      </x:c>
      <x:c r="I96" s="55" t="str">
        <x:v>Staff</x:v>
      </x:c>
      <x:c r="J96" s="53" t="str"/>
      <x:c r="K96" s="58"/>
      <x:c r="L96" s="52" t="str">
        <x:v>依場次建立物資箱編號、運送人、到貨時間、回收及耗材補充；重要檔案與設備各有一套備援。</x:v>
      </x:c>
      <x:c r="M96" s="52" t="str">
        <x:v>最新版清單或核准文件</x:v>
      </x:c>
      <x:c r="N96" s="54" t="str"/>
      <x:c r="O96" s="56" t="str">
        <x:v>PM／主管</x:v>
      </x:c>
      <x:c r="P96" s="57" t="str"/>
      <x:c r="Q96" s="52" t="str">
        <x:v>原則不得略過；確需排除時，須註明原因並取得主管核准</x:v>
      </x:c>
      <x:c r="R96" s="52" t="str"/>
    </x:row>
    <x:row r="97">
      <x:c r="A97" s="53" t="str"/>
      <x:c r="B97" s="51" t="str">
        <x:v>跨區多梯次活動</x:v>
      </x:c>
      <x:c r="C97" s="55" t="n">
        <x:v>93</x:v>
      </x:c>
      <x:c r="D97" s="55" t="str">
        <x:v>行前準備</x:v>
      </x:c>
      <x:c r="E97" s="51" t="str">
        <x:v>後勤作業</x:v>
      </x:c>
      <x:c r="F97" s="55" t="str">
        <x:v>必做</x:v>
      </x:c>
      <x:c r="G97" s="51" t="str">
        <x:v>完成各站到貨簽收</x:v>
      </x:c>
      <x:c r="H97" s="51" t="str">
        <x:v>活動前 1 週</x:v>
      </x:c>
      <x:c r="I97" s="55" t="str">
        <x:v>Staff</x:v>
      </x:c>
      <x:c r="J97" s="53" t="str"/>
      <x:c r="K97" s="58"/>
      <x:c r="L97" s="52" t="str">
        <x:v>依場次分箱、貼標與留存裝箱照；追蹤物流簽收，重要設備與檔案不得與人員同一單點運送。</x:v>
      </x:c>
      <x:c r="M97" s="52" t="str">
        <x:v>核准文件、完成截圖或可追溯紀錄</x:v>
      </x:c>
      <x:c r="N97" s="54" t="str"/>
      <x:c r="O97" s="56" t="str">
        <x:v>PM／主管</x:v>
      </x:c>
      <x:c r="P97" s="57" t="str"/>
      <x:c r="Q97" s="52" t="str">
        <x:v>原則不得略過；確需排除時，須註明原因並取得主管核准</x:v>
      </x:c>
      <x:c r="R97" s="52" t="str"/>
    </x:row>
    <x:row r="98">
      <x:c r="A98" s="53" t="str"/>
      <x:c r="B98" s="51" t="str">
        <x:v>全部活動</x:v>
      </x:c>
      <x:c r="C98" s="55" t="n">
        <x:v>94</x:v>
      </x:c>
      <x:c r="D98" s="55" t="str">
        <x:v>行前準備</x:v>
      </x:c>
      <x:c r="E98" s="51" t="str">
        <x:v>後勤作業</x:v>
      </x:c>
      <x:c r="F98" s="55" t="str">
        <x:v>必做</x:v>
      </x:c>
      <x:c r="G98" s="51" t="str">
        <x:v>建立物資清單</x:v>
      </x:c>
      <x:c r="H98" s="51" t="str">
        <x:v>活動前 1 週</x:v>
      </x:c>
      <x:c r="I98" s="55" t="str">
        <x:v>Staff</x:v>
      </x:c>
      <x:c r="J98" s="53" t="str"/>
      <x:c r="K98" s="58"/>
      <x:c r="L98" s="52" t="str">
        <x:v>記錄品項、數量、負責人、箱號、去向與回收方式。</x:v>
      </x:c>
      <x:c r="M98" s="52" t="str">
        <x:v>最新版清單或核准文件</x:v>
      </x:c>
      <x:c r="N98" s="54" t="str"/>
      <x:c r="O98" s="56" t="str">
        <x:v>PM／主管</x:v>
      </x:c>
      <x:c r="P98" s="57" t="str"/>
      <x:c r="Q98" s="52" t="str">
        <x:v>原則不得略過；確需排除時，須註明原因並取得主管核准</x:v>
      </x:c>
      <x:c r="R98" s="52" t="str"/>
    </x:row>
    <x:row r="99">
      <x:c r="A99" s="53" t="str"/>
      <x:c r="B99" s="51" t="str">
        <x:v>記者會／媒體活動、典禮／頒獎／揭牌、展覽／攤位／園遊會、巡迴宣導／說明會</x:v>
      </x:c>
      <x:c r="C99" s="55" t="n">
        <x:v>95</x:v>
      </x:c>
      <x:c r="D99" s="55" t="str">
        <x:v>行前準備</x:v>
      </x:c>
      <x:c r="E99" s="51" t="str">
        <x:v>媒體露出</x:v>
      </x:c>
      <x:c r="F99" s="55" t="str">
        <x:v>必做</x:v>
      </x:c>
      <x:c r="G99" s="51" t="str">
        <x:v>寄送採訪通知</x:v>
      </x:c>
      <x:c r="H99" s="51" t="str">
        <x:v>活動前 1 週</x:v>
      </x:c>
      <x:c r="I99" s="55" t="str">
        <x:v>Staff</x:v>
      </x:c>
      <x:c r="J99" s="53" t="str"/>
      <x:c r="K99" s="58"/>
      <x:c r="L99" s="52" t="str">
        <x:v>寄送時間地點、採訪重點、停車與回覆方式。</x:v>
      </x:c>
      <x:c r="M99" s="52" t="str">
        <x:v>寄送紀錄與收件名單</x:v>
      </x:c>
      <x:c r="N99" s="54" t="str"/>
      <x:c r="O99" s="56" t="str">
        <x:v>PM／主管</x:v>
      </x:c>
      <x:c r="P99" s="57" t="str"/>
      <x:c r="Q99" s="52" t="str">
        <x:v>原則不得略過；確需排除時，須註明原因並取得主管核准</x:v>
      </x:c>
      <x:c r="R99" s="52" t="str"/>
    </x:row>
    <x:row r="100">
      <x:c r="A100" s="53" t="str"/>
      <x:c r="B100" s="51" t="str">
        <x:v>研討會／論壇、一般會議／審查會、教育訓練／工作坊、展覽／攤位／園遊會、巡迴宣導／說明會、線上會議／直播講座</x:v>
      </x:c>
      <x:c r="C100" s="55" t="n">
        <x:v>96</x:v>
      </x:c>
      <x:c r="D100" s="55" t="str">
        <x:v>行前準備</x:v>
      </x:c>
      <x:c r="E100" s="51" t="str">
        <x:v>賓客接待</x:v>
      </x:c>
      <x:c r="F100" s="55" t="str">
        <x:v>條件式</x:v>
      </x:c>
      <x:c r="G100" s="51" t="str">
        <x:v>統計報名人數</x:v>
      </x:c>
      <x:c r="H100" s="51" t="str">
        <x:v>活動前 1 週</x:v>
      </x:c>
      <x:c r="I100" s="55" t="str">
        <x:v>Staff</x:v>
      </x:c>
      <x:c r="J100" s="53" t="str"/>
      <x:c r="K100" s="58"/>
      <x:c r="L100" s="52" t="str">
        <x:v>定期回報總數、身份、場次及候補。</x:v>
      </x:c>
      <x:c r="M100" s="52" t="str">
        <x:v>核准文件、完成截圖或可追溯紀錄</x:v>
      </x:c>
      <x:c r="N100" s="54" t="str"/>
      <x:c r="O100" s="56" t="str">
        <x:v>PM</x:v>
      </x:c>
      <x:c r="P100" s="57" t="str"/>
      <x:c r="Q100" s="52" t="str">
        <x:v>不適用時填寫原因，由 PM 確認後關閉</x:v>
      </x:c>
      <x:c r="R100" s="52" t="str"/>
    </x:row>
    <x:row r="101">
      <x:c r="A101" s="53" t="str"/>
      <x:c r="B101" s="51" t="str">
        <x:v>全部活動</x:v>
      </x:c>
      <x:c r="C101" s="55" t="n">
        <x:v>97</x:v>
      </x:c>
      <x:c r="D101" s="55" t="str">
        <x:v>行前準備</x:v>
      </x:c>
      <x:c r="E101" s="51" t="str">
        <x:v>賓客接待</x:v>
      </x:c>
      <x:c r="F101" s="55" t="str">
        <x:v>條件式</x:v>
      </x:c>
      <x:c r="G101" s="51" t="str">
        <x:v>確認報到與座位名單</x:v>
      </x:c>
      <x:c r="H101" s="51" t="str">
        <x:v>活動前 1 週</x:v>
      </x:c>
      <x:c r="I101" s="55" t="str">
        <x:v>Staff</x:v>
      </x:c>
      <x:c r="J101" s="53" t="str"/>
      <x:c r="K101" s="58"/>
      <x:c r="L101" s="52" t="str">
        <x:v>凍結名單並完成識別證、桌牌、座位圖、餐券與現場新增名單流程；敏感名單限必要人員存取。</x:v>
      </x:c>
      <x:c r="M101" s="52" t="str">
        <x:v>最新版清單或核准文件</x:v>
      </x:c>
      <x:c r="N101" s="54" t="str"/>
      <x:c r="O101" s="56" t="str">
        <x:v>PM</x:v>
      </x:c>
      <x:c r="P101" s="57" t="str"/>
      <x:c r="Q101" s="52" t="str">
        <x:v>不適用時填寫原因，由 PM 確認後關閉</x:v>
      </x:c>
      <x:c r="R101" s="52" t="str">
        <x:v>盤點物資與檔案</x:v>
      </x:c>
    </x:row>
    <x:row r="102">
      <x:c r="A102" s="53" t="str"/>
      <x:c r="B102" s="51" t="str">
        <x:v>教育訓練／工作坊</x:v>
      </x:c>
      <x:c r="C102" s="55" t="n">
        <x:v>98</x:v>
      </x:c>
      <x:c r="D102" s="55" t="str">
        <x:v>行前準備</x:v>
      </x:c>
      <x:c r="E102" s="51" t="str">
        <x:v>賓客接待</x:v>
      </x:c>
      <x:c r="F102" s="55" t="str">
        <x:v>條件式</x:v>
      </x:c>
      <x:c r="G102" s="51" t="str">
        <x:v>確認學員與課前需求</x:v>
      </x:c>
      <x:c r="H102" s="51" t="str">
        <x:v>活動前 1 週</x:v>
      </x:c>
      <x:c r="I102" s="55" t="str">
        <x:v>Staff</x:v>
      </x:c>
      <x:c r="J102" s="53" t="str"/>
      <x:c r="K102" s="58"/>
      <x:c r="L102" s="52" t="str">
        <x:v>寄送時間地點、攜帶物品、交通、帳號與課前作業；確認飲食、無障礙、住宿、設備及缺席替補。</x:v>
      </x:c>
      <x:c r="M102" s="52" t="str">
        <x:v>查核表、測試紀錄或核准截圖</x:v>
      </x:c>
      <x:c r="N102" s="54" t="str"/>
      <x:c r="O102" s="56" t="str">
        <x:v>PM</x:v>
      </x:c>
      <x:c r="P102" s="57" t="str"/>
      <x:c r="Q102" s="52" t="str">
        <x:v>不適用時填寫原因，由 PM 確認後關閉</x:v>
      </x:c>
      <x:c r="R102" s="52" t="str"/>
    </x:row>
    <x:row r="103">
      <x:c r="A103" s="53" t="str"/>
      <x:c r="B103" s="51" t="str">
        <x:v>研討會／論壇、一般會議／審查會、教育訓練／工作坊、展覽／攤位／園遊會、巡迴宣導／說明會、線上會議／直播講座</x:v>
      </x:c>
      <x:c r="C103" s="55" t="n">
        <x:v>99</x:v>
      </x:c>
      <x:c r="D103" s="55" t="str">
        <x:v>行前準備</x:v>
      </x:c>
      <x:c r="E103" s="51" t="str">
        <x:v>週邊製作</x:v>
      </x:c>
      <x:c r="F103" s="55" t="str">
        <x:v>條件式</x:v>
      </x:c>
      <x:c r="G103" s="51" t="str">
        <x:v>更新網站內容</x:v>
      </x:c>
      <x:c r="H103" s="51" t="str">
        <x:v>活動前 1 週</x:v>
      </x:c>
      <x:c r="I103" s="55" t="str">
        <x:v>Staff</x:v>
      </x:c>
      <x:c r="J103" s="53" t="str"/>
      <x:c r="K103" s="58"/>
      <x:c r="L103" s="52" t="str">
        <x:v>依核准版本更新議程、講者、交通與公告。</x:v>
      </x:c>
      <x:c r="M103" s="52" t="str">
        <x:v>網址、權限截圖或測試紀錄</x:v>
      </x:c>
      <x:c r="N103" s="54" t="str"/>
      <x:c r="O103" s="56" t="str">
        <x:v>PM</x:v>
      </x:c>
      <x:c r="P103" s="57" t="str"/>
      <x:c r="Q103" s="52" t="str">
        <x:v>不適用時填寫原因，由 PM 確認後關閉</x:v>
      </x:c>
      <x:c r="R103" s="52" t="str"/>
    </x:row>
    <x:row r="104">
      <x:c r="A104" s="53" t="str"/>
      <x:c r="B104" s="51" t="str">
        <x:v>全部活動</x:v>
      </x:c>
      <x:c r="C104" s="55" t="n">
        <x:v>100</x:v>
      </x:c>
      <x:c r="D104" s="55" t="str">
        <x:v>行前準備</x:v>
      </x:c>
      <x:c r="E104" s="51" t="str">
        <x:v>週邊製作</x:v>
      </x:c>
      <x:c r="F104" s="55" t="str">
        <x:v>條件式</x:v>
      </x:c>
      <x:c r="G104" s="51" t="str">
        <x:v>製作識別證</x:v>
      </x:c>
      <x:c r="H104" s="51" t="str">
        <x:v>活動前 1 週</x:v>
      </x:c>
      <x:c r="I104" s="55" t="str">
        <x:v>Staff</x:v>
      </x:c>
      <x:c r="J104" s="53" t="str"/>
      <x:c r="K104" s="58"/>
      <x:c r="L104" s="52" t="str">
        <x:v>完成名單套版、校對、印製、排序與空白備品。</x:v>
      </x:c>
      <x:c r="M104" s="52" t="str">
        <x:v>核准文件、完成截圖或可追溯紀錄</x:v>
      </x:c>
      <x:c r="N104" s="54" t="str"/>
      <x:c r="O104" s="56" t="str">
        <x:v>PM</x:v>
      </x:c>
      <x:c r="P104" s="57" t="str"/>
      <x:c r="Q104" s="52" t="str">
        <x:v>不適用時填寫原因，由 PM 確認後關閉</x:v>
      </x:c>
      <x:c r="R104" s="52" t="str"/>
    </x:row>
    <x:row r="105">
      <x:c r="A105" s="53" t="str"/>
      <x:c r="B105" s="51" t="str">
        <x:v>全部活動</x:v>
      </x:c>
      <x:c r="C105" s="55" t="n">
        <x:v>101</x:v>
      </x:c>
      <x:c r="D105" s="55" t="str">
        <x:v>行前準備</x:v>
      </x:c>
      <x:c r="E105" s="51" t="str">
        <x:v>後勤作業</x:v>
      </x:c>
      <x:c r="F105" s="55" t="str">
        <x:v>條件式</x:v>
      </x:c>
      <x:c r="G105" s="51" t="str">
        <x:v>申請現場款項</x:v>
      </x:c>
      <x:c r="H105" s="51" t="str">
        <x:v>活動前 1 週</x:v>
      </x:c>
      <x:c r="I105" s="55" t="str">
        <x:v>PM</x:v>
      </x:c>
      <x:c r="J105" s="53" t="str"/>
      <x:c r="K105" s="58"/>
      <x:c r="L105" s="52" t="str">
        <x:v>依付款清單申請現金或匯款，備妥領據。</x:v>
      </x:c>
      <x:c r="M105" s="52" t="str">
        <x:v>核准文件、完成截圖或可追溯紀錄</x:v>
      </x:c>
      <x:c r="N105" s="54" t="str"/>
      <x:c r="O105" s="56" t="str">
        <x:v>PM</x:v>
      </x:c>
      <x:c r="P105" s="57" t="str"/>
      <x:c r="Q105" s="52" t="str">
        <x:v>不適用時填寫原因，由 PM 確認後關閉</x:v>
      </x:c>
      <x:c r="R105" s="52" t="str"/>
    </x:row>
    <x:row r="106">
      <x:c r="A106" s="53" t="str"/>
      <x:c r="B106" s="51" t="str">
        <x:v>研討會／論壇</x:v>
      </x:c>
      <x:c r="C106" s="55" t="n">
        <x:v>102</x:v>
      </x:c>
      <x:c r="D106" s="55" t="str">
        <x:v>行前準備</x:v>
      </x:c>
      <x:c r="E106" s="51" t="str">
        <x:v>後勤作業</x:v>
      </x:c>
      <x:c r="F106" s="55" t="str">
        <x:v>條件式</x:v>
      </x:c>
      <x:c r="G106" s="51" t="str">
        <x:v>完成論文海報展示準備</x:v>
      </x:c>
      <x:c r="H106" s="51" t="str">
        <x:v>活動前 1 週</x:v>
      </x:c>
      <x:c r="I106" s="55" t="str">
        <x:v>Staff</x:v>
      </x:c>
      <x:c r="J106" s="53" t="str"/>
      <x:c r="K106" s="58"/>
      <x:c r="L106" s="52" t="str">
        <x:v>完成入選名單、位置標示、作者通知、展示工具與未到件處理。</x:v>
      </x:c>
      <x:c r="M106" s="52" t="str">
        <x:v>核准文件、完成截圖或可追溯紀錄</x:v>
      </x:c>
      <x:c r="N106" s="54" t="str"/>
      <x:c r="O106" s="56" t="str">
        <x:v>PM</x:v>
      </x:c>
      <x:c r="P106" s="57" t="str"/>
      <x:c r="Q106" s="52" t="str">
        <x:v>不適用時填寫原因，由 PM 確認後關閉</x:v>
      </x:c>
      <x:c r="R106" s="52" t="str"/>
    </x:row>
    <x:row r="107">
      <x:c r="A107" s="53" t="str"/>
      <x:c r="B107" s="51" t="str">
        <x:v>線上會議／直播講座</x:v>
      </x:c>
      <x:c r="C107" s="55" t="n">
        <x:v>103</x:v>
      </x:c>
      <x:c r="D107" s="55" t="str">
        <x:v>行前準備</x:v>
      </x:c>
      <x:c r="E107" s="51" t="str">
        <x:v>直播作業</x:v>
      </x:c>
      <x:c r="F107" s="55" t="str">
        <x:v>必做</x:v>
      </x:c>
      <x:c r="G107" s="51" t="str">
        <x:v>寄送連結密碼</x:v>
      </x:c>
      <x:c r="H107" s="51" t="str">
        <x:v>活動前 4 天</x:v>
      </x:c>
      <x:c r="I107" s="55" t="str">
        <x:v>Staff</x:v>
      </x:c>
      <x:c r="J107" s="53" t="str"/>
      <x:c r="K107" s="58"/>
      <x:c r="L107" s="52" t="str">
        <x:v>分眾寄送正確連結、密碼、時區與上線時間。</x:v>
      </x:c>
      <x:c r="M107" s="52" t="str">
        <x:v>寄送紀錄與收件名單</x:v>
      </x:c>
      <x:c r="N107" s="54" t="str"/>
      <x:c r="O107" s="56" t="str">
        <x:v>PM／主管</x:v>
      </x:c>
      <x:c r="P107" s="57" t="str"/>
      <x:c r="Q107" s="52" t="str">
        <x:v>原則不得略過；確需排除時，須註明原因並取得主管核准</x:v>
      </x:c>
      <x:c r="R107" s="52" t="str"/>
    </x:row>
    <x:row r="108">
      <x:c r="A108" s="53" t="str"/>
      <x:c r="B108" s="51" t="str">
        <x:v>研討會／論壇、教育訓練／工作坊、線上會議／直播講座</x:v>
      </x:c>
      <x:c r="C108" s="55" t="n">
        <x:v>104</x:v>
      </x:c>
      <x:c r="D108" s="55" t="str">
        <x:v>行前準備</x:v>
      </x:c>
      <x:c r="E108" s="51" t="str">
        <x:v>講師溝通</x:v>
      </x:c>
      <x:c r="F108" s="55" t="str">
        <x:v>必做</x:v>
      </x:c>
      <x:c r="G108" s="51" t="str">
        <x:v>安排講者測試</x:v>
      </x:c>
      <x:c r="H108" s="51" t="str">
        <x:v>活動前 4 天</x:v>
      </x:c>
      <x:c r="I108" s="55" t="str">
        <x:v>Staff</x:v>
      </x:c>
      <x:c r="J108" s="53" t="str"/>
      <x:c r="K108" s="58"/>
      <x:c r="L108" s="52" t="str">
        <x:v>確認簡報、收音、畫面、計時與上退場。</x:v>
      </x:c>
      <x:c r="M108" s="52" t="str">
        <x:v>查核表、測試紀錄或核准截圖</x:v>
      </x:c>
      <x:c r="N108" s="54" t="str"/>
      <x:c r="O108" s="56" t="str">
        <x:v>PM／主管</x:v>
      </x:c>
      <x:c r="P108" s="57" t="str"/>
      <x:c r="Q108" s="52" t="str">
        <x:v>原則不得略過；確需排除時，須註明原因並取得主管核准</x:v>
      </x:c>
      <x:c r="R108" s="52" t="str"/>
    </x:row>
    <x:row r="109">
      <x:c r="A109" s="53" t="str"/>
      <x:c r="B109" s="51" t="str">
        <x:v>研討會／論壇、教育訓練／工作坊、線上會議／直播講座</x:v>
      </x:c>
      <x:c r="C109" s="55" t="n">
        <x:v>105</x:v>
      </x:c>
      <x:c r="D109" s="55" t="str">
        <x:v>行前準備</x:v>
      </x:c>
      <x:c r="E109" s="51" t="str">
        <x:v>講師溝通</x:v>
      </x:c>
      <x:c r="F109" s="55" t="str">
        <x:v>必做</x:v>
      </x:c>
      <x:c r="G109" s="51" t="str">
        <x:v>寄送講者行前通知</x:v>
      </x:c>
      <x:c r="H109" s="51" t="str">
        <x:v>活動前 4 天</x:v>
      </x:c>
      <x:c r="I109" s="55" t="str">
        <x:v>Staff</x:v>
      </x:c>
      <x:c r="J109" s="53" t="str"/>
      <x:c r="K109" s="58"/>
      <x:c r="L109" s="52" t="str">
        <x:v>寄送流程、地址、報到、測試及窗口資訊。</x:v>
      </x:c>
      <x:c r="M109" s="52" t="str">
        <x:v>寄送紀錄與收件名單</x:v>
      </x:c>
      <x:c r="N109" s="54" t="str"/>
      <x:c r="O109" s="56" t="str">
        <x:v>PM／主管</x:v>
      </x:c>
      <x:c r="P109" s="57" t="str"/>
      <x:c r="Q109" s="52" t="str">
        <x:v>原則不得略過；確需排除時，須註明原因並取得主管核准</x:v>
      </x:c>
      <x:c r="R109" s="52" t="str"/>
    </x:row>
    <x:row r="110">
      <x:c r="A110" s="53" t="str"/>
      <x:c r="B110" s="51" t="str">
        <x:v>研討會／論壇、一般會議／審查會、教育訓練／工作坊、展覽／攤位／園遊會、巡迴宣導／說明會、線上會議／直播講座</x:v>
      </x:c>
      <x:c r="C110" s="55" t="n">
        <x:v>106</x:v>
      </x:c>
      <x:c r="D110" s="55" t="str">
        <x:v>行前準備</x:v>
      </x:c>
      <x:c r="E110" s="51" t="str">
        <x:v>賓客接待</x:v>
      </x:c>
      <x:c r="F110" s="55" t="str">
        <x:v>必做</x:v>
      </x:c>
      <x:c r="G110" s="51" t="str">
        <x:v>匯出最終名單</x:v>
      </x:c>
      <x:c r="H110" s="51" t="str">
        <x:v>活動前 4 天</x:v>
      </x:c>
      <x:c r="I110" s="55" t="str">
        <x:v>Staff</x:v>
      </x:c>
      <x:c r="J110" s="53" t="str"/>
      <x:c r="K110" s="58"/>
      <x:c r="L110" s="52" t="str">
        <x:v>凍結報到、餐飲、識別證與座位使用名單。</x:v>
      </x:c>
      <x:c r="M110" s="52" t="str">
        <x:v>最新版清單或核准文件</x:v>
      </x:c>
      <x:c r="N110" s="54" t="str"/>
      <x:c r="O110" s="56" t="str">
        <x:v>PM／主管</x:v>
      </x:c>
      <x:c r="P110" s="57" t="str"/>
      <x:c r="Q110" s="52" t="str">
        <x:v>原則不得略過；確需排除時，須註明原因並取得主管核准</x:v>
      </x:c>
      <x:c r="R110" s="52" t="str"/>
    </x:row>
    <x:row r="111">
      <x:c r="A111" s="53" t="str"/>
      <x:c r="B111" s="51" t="str">
        <x:v>全部活動</x:v>
      </x:c>
      <x:c r="C111" s="55" t="n">
        <x:v>107</x:v>
      </x:c>
      <x:c r="D111" s="55" t="str">
        <x:v>行前準備</x:v>
      </x:c>
      <x:c r="E111" s="51" t="str">
        <x:v>餐點安排</x:v>
      </x:c>
      <x:c r="F111" s="55" t="str">
        <x:v>必做</x:v>
      </x:c>
      <x:c r="G111" s="51" t="str">
        <x:v>確認餐點送達</x:v>
      </x:c>
      <x:c r="H111" s="51" t="str">
        <x:v>活動前 4 天</x:v>
      </x:c>
      <x:c r="I111" s="55" t="str">
        <x:v>Staff</x:v>
      </x:c>
      <x:c r="J111" s="53" t="str"/>
      <x:c r="K111" s="58"/>
      <x:c r="L111" s="52" t="str">
        <x:v>確認廠商窗口、到貨位置、時間、保溫與垃圾清運。</x:v>
      </x:c>
      <x:c r="M111" s="52" t="str">
        <x:v>查核表、測試紀錄或核准截圖</x:v>
      </x:c>
      <x:c r="N111" s="54" t="str"/>
      <x:c r="O111" s="56" t="str">
        <x:v>PM／主管</x:v>
      </x:c>
      <x:c r="P111" s="57" t="str"/>
      <x:c r="Q111" s="52" t="str">
        <x:v>原則不得略過；確需排除時，須註明原因並取得主管核准</x:v>
      </x:c>
      <x:c r="R111" s="52" t="str"/>
    </x:row>
    <x:row r="112">
      <x:c r="A112" s="53" t="str"/>
      <x:c r="B112" s="51" t="str">
        <x:v>研討會／論壇</x:v>
      </x:c>
      <x:c r="C112" s="55" t="n">
        <x:v>108</x:v>
      </x:c>
      <x:c r="D112" s="55" t="str">
        <x:v>行前準備</x:v>
      </x:c>
      <x:c r="E112" s="51" t="str">
        <x:v>影音製作</x:v>
      </x:c>
      <x:c r="F112" s="55" t="str">
        <x:v>必做</x:v>
      </x:c>
      <x:c r="G112" s="51" t="str">
        <x:v>完成簡報測試與總控版</x:v>
      </x:c>
      <x:c r="H112" s="51" t="str">
        <x:v>活動前 4 天</x:v>
      </x:c>
      <x:c r="I112" s="55" t="str">
        <x:v>Staff</x:v>
      </x:c>
      <x:c r="J112" s="53" t="str"/>
      <x:c r="K112" s="58"/>
      <x:c r="L112" s="52" t="str">
        <x:v>收齊所有簡報並檢查字型、影音、比例、頁序與授權；合併總控版與離線備份，保留最後更新窗口。</x:v>
      </x:c>
      <x:c r="M112" s="52" t="str">
        <x:v>查核表、測試紀錄或核准截圖</x:v>
      </x:c>
      <x:c r="N112" s="54" t="str"/>
      <x:c r="O112" s="56" t="str">
        <x:v>PM／主管</x:v>
      </x:c>
      <x:c r="P112" s="57" t="str"/>
      <x:c r="Q112" s="52" t="str">
        <x:v>原則不得略過；確需排除時，須註明原因並取得主管核准</x:v>
      </x:c>
      <x:c r="R112" s="52" t="str"/>
    </x:row>
    <x:row r="113">
      <x:c r="A113" s="53" t="str"/>
      <x:c r="B113" s="51" t="str">
        <x:v>巡迴宣導／說明會、跨區多梯次活動</x:v>
      </x:c>
      <x:c r="C113" s="55" t="n">
        <x:v>109</x:v>
      </x:c>
      <x:c r="D113" s="55" t="str">
        <x:v>行前準備</x:v>
      </x:c>
      <x:c r="E113" s="51" t="str">
        <x:v>後勤作業</x:v>
      </x:c>
      <x:c r="F113" s="55" t="str">
        <x:v>必做</x:v>
      </x:c>
      <x:c r="G113" s="51" t="str">
        <x:v>追蹤物資到貨</x:v>
      </x:c>
      <x:c r="H113" s="51" t="str">
        <x:v>活動前 4 天</x:v>
      </x:c>
      <x:c r="I113" s="55" t="str">
        <x:v>Staff</x:v>
      </x:c>
      <x:c r="J113" s="53" t="str"/>
      <x:c r="K113" s="58"/>
      <x:c r="L113" s="52" t="str">
        <x:v>確認物流單號、簽收、損壞與補件。</x:v>
      </x:c>
      <x:c r="M113" s="52" t="str">
        <x:v>核准文件、完成截圖或可追溯紀錄</x:v>
      </x:c>
      <x:c r="N113" s="54" t="str"/>
      <x:c r="O113" s="56" t="str">
        <x:v>PM／主管</x:v>
      </x:c>
      <x:c r="P113" s="57" t="str"/>
      <x:c r="Q113" s="52" t="str">
        <x:v>原則不得略過；確需排除時，須註明原因並取得主管核准</x:v>
      </x:c>
      <x:c r="R113" s="52" t="str"/>
    </x:row>
    <x:row r="114">
      <x:c r="A114" s="53" t="str"/>
      <x:c r="B114" s="51" t="str">
        <x:v>全部活動</x:v>
      </x:c>
      <x:c r="C114" s="55" t="n">
        <x:v>110</x:v>
      </x:c>
      <x:c r="D114" s="55" t="str">
        <x:v>行前準備</x:v>
      </x:c>
      <x:c r="E114" s="51" t="str">
        <x:v>後勤作業</x:v>
      </x:c>
      <x:c r="F114" s="55" t="str">
        <x:v>必做</x:v>
      </x:c>
      <x:c r="G114" s="51" t="str">
        <x:v>盤點物資與檔案</x:v>
      </x:c>
      <x:c r="H114" s="51" t="str">
        <x:v>活動前 4 天</x:v>
      </x:c>
      <x:c r="I114" s="55" t="str">
        <x:v>Staff</x:v>
      </x:c>
      <x:c r="J114" s="53" t="str"/>
      <x:c r="K114" s="58"/>
      <x:c r="L114" s="52" t="str">
        <x:v>依清單逐件勾稽數量；備妥流程表、簡報、影片、字型、音樂、轉接頭、延長線、文具、醫藥箱、備用電池及離線備份。</x:v>
      </x:c>
      <x:c r="M114" s="52" t="str">
        <x:v>核准文件、完成截圖或可追溯紀錄</x:v>
      </x:c>
      <x:c r="N114" s="54" t="str"/>
      <x:c r="O114" s="56" t="str">
        <x:v>PM／主管</x:v>
      </x:c>
      <x:c r="P114" s="57" t="str"/>
      <x:c r="Q114" s="52" t="str">
        <x:v>原則不得略過；確需排除時，須註明原因並取得主管核准</x:v>
      </x:c>
      <x:c r="R114" s="52" t="str">
        <x:v>完成進場測試與彩排</x:v>
      </x:c>
    </x:row>
    <x:row r="115">
      <x:c r="A115" s="53" t="str"/>
      <x:c r="B115" s="51" t="str">
        <x:v>全部活動</x:v>
      </x:c>
      <x:c r="C115" s="55" t="n">
        <x:v>111</x:v>
      </x:c>
      <x:c r="D115" s="55" t="str">
        <x:v>行前準備</x:v>
      </x:c>
      <x:c r="E115" s="51" t="str">
        <x:v>後勤作業</x:v>
      </x:c>
      <x:c r="F115" s="55" t="str">
        <x:v>必做</x:v>
      </x:c>
      <x:c r="G115" s="51" t="str">
        <x:v>確認廠商到場</x:v>
      </x:c>
      <x:c r="H115" s="51" t="str">
        <x:v>活動前 4 天</x:v>
      </x:c>
      <x:c r="I115" s="55" t="str">
        <x:v>Staff</x:v>
      </x:c>
      <x:c r="J115" s="53" t="str"/>
      <x:c r="K115" s="58"/>
      <x:c r="L115" s="52" t="str">
        <x:v>逐一確認負責人、電話、車號、到場與施工時間。</x:v>
      </x:c>
      <x:c r="M115" s="52" t="str">
        <x:v>查核表、測試紀錄或核准截圖</x:v>
      </x:c>
      <x:c r="N115" s="54" t="str"/>
      <x:c r="O115" s="56" t="str">
        <x:v>PM／主管</x:v>
      </x:c>
      <x:c r="P115" s="57" t="str"/>
      <x:c r="Q115" s="52" t="str">
        <x:v>原則不得略過；確需排除時，須註明原因並取得主管核准</x:v>
      </x:c>
      <x:c r="R115" s="52" t="str"/>
    </x:row>
    <x:row r="116">
      <x:c r="A116" s="53" t="str"/>
      <x:c r="B116" s="51" t="str">
        <x:v>記者會／媒體活動</x:v>
      </x:c>
      <x:c r="C116" s="55" t="n">
        <x:v>112</x:v>
      </x:c>
      <x:c r="D116" s="55" t="str">
        <x:v>行前準備</x:v>
      </x:c>
      <x:c r="E116" s="51" t="str">
        <x:v>媒體露出</x:v>
      </x:c>
      <x:c r="F116" s="55" t="str">
        <x:v>必做</x:v>
      </x:c>
      <x:c r="G116" s="51" t="str">
        <x:v>完成發言與媒體演練</x:v>
      </x:c>
      <x:c r="H116" s="51" t="str">
        <x:v>活動前 4 天</x:v>
      </x:c>
      <x:c r="I116" s="55" t="str">
        <x:v>PM</x:v>
      </x:c>
      <x:c r="J116" s="53" t="str"/>
      <x:c r="K116" s="58"/>
      <x:c r="L116" s="52" t="str">
        <x:v>完成發言、提問、敏感題與追問演練；確認媒體報到、攝影區、收音、多路訊號、聯訪與一對一專訪動線。</x:v>
      </x:c>
      <x:c r="M116" s="52" t="str">
        <x:v>查核表、測試紀錄或核准截圖</x:v>
      </x:c>
      <x:c r="N116" s="54" t="str"/>
      <x:c r="O116" s="56" t="str">
        <x:v>PM／主管</x:v>
      </x:c>
      <x:c r="P116" s="57" t="str"/>
      <x:c r="Q116" s="52" t="str">
        <x:v>原則不得略過；確需排除時，須註明原因並取得主管核准</x:v>
      </x:c>
      <x:c r="R116" s="52" t="str"/>
    </x:row>
    <x:row r="117">
      <x:c r="A117" s="53" t="str"/>
      <x:c r="B117" s="51" t="str">
        <x:v>記者會／媒體活動、典禮／頒獎／揭牌、展覽／攤位／園遊會、巡迴宣導／說明會</x:v>
      </x:c>
      <x:c r="C117" s="55" t="n">
        <x:v>113</x:v>
      </x:c>
      <x:c r="D117" s="55" t="str">
        <x:v>行前準備</x:v>
      </x:c>
      <x:c r="E117" s="51" t="str">
        <x:v>媒體露出</x:v>
      </x:c>
      <x:c r="F117" s="55" t="str">
        <x:v>必做</x:v>
      </x:c>
      <x:c r="G117" s="51" t="str">
        <x:v>準備新聞資料</x:v>
      </x:c>
      <x:c r="H117" s="51" t="str">
        <x:v>活動前 4 天</x:v>
      </x:c>
      <x:c r="I117" s="55" t="str">
        <x:v>Staff</x:v>
      </x:c>
      <x:c r="J117" s="53" t="str"/>
      <x:c r="K117" s="58"/>
      <x:c r="L117" s="52" t="str">
        <x:v>備妥新聞稿、照片、圖說、背景資料與下載連結。</x:v>
      </x:c>
      <x:c r="M117" s="52" t="str">
        <x:v>核准文件、完成截圖或可追溯紀錄</x:v>
      </x:c>
      <x:c r="N117" s="54" t="str"/>
      <x:c r="O117" s="56" t="str">
        <x:v>PM／主管</x:v>
      </x:c>
      <x:c r="P117" s="57" t="str"/>
      <x:c r="Q117" s="52" t="str">
        <x:v>原則不得略過；確需排除時，須註明原因並取得主管核准</x:v>
      </x:c>
      <x:c r="R117" s="52" t="str"/>
    </x:row>
    <x:row r="118">
      <x:c r="A118" s="53" t="str"/>
      <x:c r="B118" s="51" t="str">
        <x:v>線上會議／直播講座</x:v>
      </x:c>
      <x:c r="C118" s="55" t="n">
        <x:v>114</x:v>
      </x:c>
      <x:c r="D118" s="55" t="str">
        <x:v>行前準備</x:v>
      </x:c>
      <x:c r="E118" s="51" t="str">
        <x:v>直播作業</x:v>
      </x:c>
      <x:c r="F118" s="55" t="str">
        <x:v>條件式</x:v>
      </x:c>
      <x:c r="G118" s="51" t="str">
        <x:v>寄送連結與參與說明</x:v>
      </x:c>
      <x:c r="H118" s="51" t="str">
        <x:v>活動前 4 天</x:v>
      </x:c>
      <x:c r="I118" s="55" t="str">
        <x:v>Staff</x:v>
      </x:c>
      <x:c r="J118" s="53" t="str"/>
      <x:c r="K118" s="58"/>
      <x:c r="L118" s="52" t="str">
        <x:v>分眾寄送正確連結、密碼、時區、上線時間、顯示名稱及客服窗口；避免在公開頁面暴露管理連結。</x:v>
      </x:c>
      <x:c r="M118" s="52" t="str">
        <x:v>寄送紀錄與收件名單</x:v>
      </x:c>
      <x:c r="N118" s="54" t="str"/>
      <x:c r="O118" s="56" t="str">
        <x:v>PM</x:v>
      </x:c>
      <x:c r="P118" s="57" t="str"/>
      <x:c r="Q118" s="52" t="str">
        <x:v>不適用時填寫原因，由 PM 確認後關閉</x:v>
      </x:c>
      <x:c r="R118" s="52" t="str"/>
    </x:row>
    <x:row r="119">
      <x:c r="A119" s="53" t="str"/>
      <x:c r="B119" s="51" t="str">
        <x:v>全部活動</x:v>
      </x:c>
      <x:c r="C119" s="55" t="n">
        <x:v>115</x:v>
      </x:c>
      <x:c r="D119" s="55" t="str">
        <x:v>行前準備</x:v>
      </x:c>
      <x:c r="E119" s="51" t="str">
        <x:v>賓客接待</x:v>
      </x:c>
      <x:c r="F119" s="55" t="str">
        <x:v>條件式</x:v>
      </x:c>
      <x:c r="G119" s="51" t="str">
        <x:v>寄送會前提醒</x:v>
      </x:c>
      <x:c r="H119" s="51" t="str">
        <x:v>活動前 4 天</x:v>
      </x:c>
      <x:c r="I119" s="55" t="str">
        <x:v>Staff</x:v>
      </x:c>
      <x:c r="J119" s="53" t="str"/>
      <x:c r="K119" s="58"/>
      <x:c r="L119" s="52" t="str">
        <x:v>寄送時間、地點、交通、流程及取消方式。</x:v>
      </x:c>
      <x:c r="M119" s="52" t="str">
        <x:v>寄送紀錄與收件名單</x:v>
      </x:c>
      <x:c r="N119" s="54" t="str"/>
      <x:c r="O119" s="56" t="str">
        <x:v>PM</x:v>
      </x:c>
      <x:c r="P119" s="57" t="str"/>
      <x:c r="Q119" s="52" t="str">
        <x:v>不適用時填寫原因，由 PM 確認後關閉</x:v>
      </x:c>
      <x:c r="R119" s="52" t="str"/>
    </x:row>
    <x:row r="120">
      <x:c r="A120" s="53" t="str"/>
      <x:c r="B120" s="51" t="str">
        <x:v>全部活動</x:v>
      </x:c>
      <x:c r="C120" s="55" t="n">
        <x:v>116</x:v>
      </x:c>
      <x:c r="D120" s="55" t="str">
        <x:v>行前準備</x:v>
      </x:c>
      <x:c r="E120" s="51" t="str">
        <x:v>賓客接待</x:v>
      </x:c>
      <x:c r="F120" s="55" t="str">
        <x:v>條件式</x:v>
      </x:c>
      <x:c r="G120" s="51" t="str">
        <x:v>準備備用簽到表</x:v>
      </x:c>
      <x:c r="H120" s="51" t="str">
        <x:v>活動前 4 天</x:v>
      </x:c>
      <x:c r="I120" s="55" t="str">
        <x:v>Staff</x:v>
      </x:c>
      <x:c r="J120" s="53" t="str"/>
      <x:c r="K120" s="58"/>
      <x:c r="L120" s="52" t="str">
        <x:v>依名單排序列印並備妥現場新增欄位。</x:v>
      </x:c>
      <x:c r="M120" s="52" t="str">
        <x:v>核准文件、完成截圖或可追溯紀錄</x:v>
      </x:c>
      <x:c r="N120" s="54" t="str"/>
      <x:c r="O120" s="56" t="str">
        <x:v>PM</x:v>
      </x:c>
      <x:c r="P120" s="57" t="str"/>
      <x:c r="Q120" s="52" t="str">
        <x:v>不適用時填寫原因，由 PM 確認後關閉</x:v>
      </x:c>
      <x:c r="R120" s="52" t="str"/>
    </x:row>
    <x:row r="121">
      <x:c r="A121" s="53" t="str"/>
      <x:c r="B121" s="51" t="str">
        <x:v>體驗／互動活動</x:v>
      </x:c>
      <x:c r="C121" s="55" t="n">
        <x:v>117</x:v>
      </x:c>
      <x:c r="D121" s="55" t="str">
        <x:v>行前準備</x:v>
      </x:c>
      <x:c r="E121" s="51" t="str">
        <x:v>專業人員</x:v>
      </x:c>
      <x:c r="F121" s="55" t="str">
        <x:v>條件式</x:v>
      </x:c>
      <x:c r="G121" s="51" t="str">
        <x:v>完成人員操作演練</x:v>
      </x:c>
      <x:c r="H121" s="51" t="str">
        <x:v>活動前 4 天</x:v>
      </x:c>
      <x:c r="I121" s="55" t="str">
        <x:v>Staff</x:v>
      </x:c>
      <x:c r="J121" s="53" t="str"/>
      <x:c r="K121" s="58"/>
      <x:c r="L121" s="52" t="str">
        <x:v>工作人員能在限定時間內完成說明、示範、風險提醒與問題處理；以一般民眾實測理解度和動線。</x:v>
      </x:c>
      <x:c r="M121" s="52" t="str">
        <x:v>核准文件、完成截圖或可追溯紀錄</x:v>
      </x:c>
      <x:c r="N121" s="54" t="str"/>
      <x:c r="O121" s="56" t="str">
        <x:v>PM</x:v>
      </x:c>
      <x:c r="P121" s="57" t="str"/>
      <x:c r="Q121" s="52" t="str">
        <x:v>不適用時填寫原因，由 PM 確認後關閉</x:v>
      </x:c>
      <x:c r="R121" s="52" t="str"/>
    </x:row>
    <x:row r="122">
      <x:c r="A122" s="53" t="str"/>
      <x:c r="B122" s="51" t="str">
        <x:v>展覽／攤位／園遊會、體驗／互動活動</x:v>
      </x:c>
      <x:c r="C122" s="55" t="n">
        <x:v>118</x:v>
      </x:c>
      <x:c r="D122" s="55" t="str">
        <x:v>行前準備</x:v>
      </x:c>
      <x:c r="E122" s="51" t="str">
        <x:v>後勤作業</x:v>
      </x:c>
      <x:c r="F122" s="55" t="str">
        <x:v>條件式</x:v>
      </x:c>
      <x:c r="G122" s="51" t="str">
        <x:v>安排耗材補給</x:v>
      </x:c>
      <x:c r="H122" s="51" t="str">
        <x:v>活動前 4 天</x:v>
      </x:c>
      <x:c r="I122" s="55" t="str">
        <x:v>Staff</x:v>
      </x:c>
      <x:c r="J122" s="53" t="str"/>
      <x:c r="K122" s="58"/>
      <x:c r="L122" s="52" t="str">
        <x:v>設定庫存量、補給點、補充頻率與負責人。</x:v>
      </x:c>
      <x:c r="M122" s="52" t="str">
        <x:v>核准文件、完成截圖或可追溯紀錄</x:v>
      </x:c>
      <x:c r="N122" s="54" t="str"/>
      <x:c r="O122" s="56" t="str">
        <x:v>PM</x:v>
      </x:c>
      <x:c r="P122" s="57" t="str"/>
      <x:c r="Q122" s="52" t="str">
        <x:v>不適用時填寫原因，由 PM 確認後關閉</x:v>
      </x:c>
      <x:c r="R122" s="52" t="str"/>
    </x:row>
    <x:row r="123">
      <x:c r="A123" s="53" t="str"/>
      <x:c r="B123" s="51" t="str">
        <x:v>記者會／媒體活動、典禮／頒獎／揭牌、展覽／攤位／園遊會、巡迴宣導／說明會</x:v>
      </x:c>
      <x:c r="C123" s="55" t="n">
        <x:v>119</x:v>
      </x:c>
      <x:c r="D123" s="55" t="str">
        <x:v>行前準備</x:v>
      </x:c>
      <x:c r="E123" s="51" t="str">
        <x:v>媒體露出</x:v>
      </x:c>
      <x:c r="F123" s="55" t="str">
        <x:v>條件式</x:v>
      </x:c>
      <x:c r="G123" s="51" t="str">
        <x:v>安排媒體接待</x:v>
      </x:c>
      <x:c r="H123" s="51" t="str">
        <x:v>活動前 4 天</x:v>
      </x:c>
      <x:c r="I123" s="55" t="str">
        <x:v>PM</x:v>
      </x:c>
      <x:c r="J123" s="53" t="str"/>
      <x:c r="K123" s="58"/>
      <x:c r="L123" s="52" t="str">
        <x:v>確認媒體報到、攝影區、收音、座位及窗口。</x:v>
      </x:c>
      <x:c r="M123" s="52" t="str">
        <x:v>核准文件、完成截圖或可追溯紀錄</x:v>
      </x:c>
      <x:c r="N123" s="54" t="str"/>
      <x:c r="O123" s="56" t="str">
        <x:v>PM</x:v>
      </x:c>
      <x:c r="P123" s="57" t="str"/>
      <x:c r="Q123" s="52" t="str">
        <x:v>不適用時填寫原因，由 PM 確認後關閉</x:v>
      </x:c>
      <x:c r="R123" s="52" t="str"/>
    </x:row>
    <x:row r="124">
      <x:c r="A124" s="53" t="str"/>
      <x:c r="B124" s="51" t="str">
        <x:v>記者會／媒體活動、典禮／頒獎／揭牌、展覽／攤位／園遊會、巡迴宣導／說明會</x:v>
      </x:c>
      <x:c r="C124" s="55" t="n">
        <x:v>120</x:v>
      </x:c>
      <x:c r="D124" s="55" t="str">
        <x:v>行前準備</x:v>
      </x:c>
      <x:c r="E124" s="51" t="str">
        <x:v>媒體露出</x:v>
      </x:c>
      <x:c r="F124" s="55" t="str">
        <x:v>條件式</x:v>
      </x:c>
      <x:c r="G124" s="51" t="str">
        <x:v>確認出席媒體</x:v>
      </x:c>
      <x:c r="H124" s="51" t="str">
        <x:v>活動前 4 天</x:v>
      </x:c>
      <x:c r="I124" s="55" t="str">
        <x:v>Staff</x:v>
      </x:c>
      <x:c r="J124" s="53" t="str"/>
      <x:c r="K124" s="58"/>
      <x:c r="L124" s="52" t="str">
        <x:v>彙整媒體、人數、器材、聯訪與專訪需求。</x:v>
      </x:c>
      <x:c r="M124" s="52" t="str">
        <x:v>查核表、測試紀錄或核准截圖</x:v>
      </x:c>
      <x:c r="N124" s="54" t="str"/>
      <x:c r="O124" s="56" t="str">
        <x:v>PM</x:v>
      </x:c>
      <x:c r="P124" s="57" t="str"/>
      <x:c r="Q124" s="52" t="str">
        <x:v>不適用時填寫原因，由 PM 確認後關閉</x:v>
      </x:c>
      <x:c r="R124" s="52" t="str"/>
    </x:row>
    <x:row r="125">
      <x:c r="A125" s="53" t="str"/>
      <x:c r="B125" s="51" t="str">
        <x:v>全部活動</x:v>
      </x:c>
      <x:c r="C125" s="55" t="n">
        <x:v>121</x:v>
      </x:c>
      <x:c r="D125" s="55" t="str">
        <x:v>行前準備</x:v>
      </x:c>
      <x:c r="E125" s="51" t="str">
        <x:v>專案統籌</x:v>
      </x:c>
      <x:c r="F125" s="55" t="str">
        <x:v>必做</x:v>
      </x:c>
      <x:c r="G125" s="51" t="str">
        <x:v>完成流程彩排</x:v>
      </x:c>
      <x:c r="H125" s="51" t="str">
        <x:v>活動前 1 天</x:v>
      </x:c>
      <x:c r="I125" s="55" t="str">
        <x:v>PM</x:v>
      </x:c>
      <x:c r="J125" s="53" t="str"/>
      <x:c r="K125" s="58"/>
      <x:c r="L125" s="52" t="str">
        <x:v>依正式流程完成技術、台上人員與全員聯合彩排。</x:v>
      </x:c>
      <x:c r="M125" s="52" t="str">
        <x:v>查核表、測試紀錄或核准截圖</x:v>
      </x:c>
      <x:c r="N125" s="54" t="str"/>
      <x:c r="O125" s="56" t="str">
        <x:v>PM／主管</x:v>
      </x:c>
      <x:c r="P125" s="57" t="str"/>
      <x:c r="Q125" s="52" t="str">
        <x:v>原則不得略過；確需排除時，須註明原因並取得主管核准</x:v>
      </x:c>
      <x:c r="R125" s="52" t="str"/>
    </x:row>
    <x:row r="126">
      <x:c r="A126" s="53" t="str"/>
      <x:c r="B126" s="51" t="str">
        <x:v>典禮／頒獎／揭牌</x:v>
      </x:c>
      <x:c r="C126" s="55" t="n">
        <x:v>122</x:v>
      </x:c>
      <x:c r="D126" s="55" t="str">
        <x:v>行前準備</x:v>
      </x:c>
      <x:c r="E126" s="51" t="str">
        <x:v>專案統籌</x:v>
      </x:c>
      <x:c r="F126" s="55" t="str">
        <x:v>必做</x:v>
      </x:c>
      <x:c r="G126" s="51" t="str">
        <x:v>完成儀式彩排</x:v>
      </x:c>
      <x:c r="H126" s="51" t="str">
        <x:v>活動前 1 天</x:v>
      </x:c>
      <x:c r="I126" s="55" t="str">
        <x:v>PM</x:v>
      </x:c>
      <x:c r="J126" s="53" t="str"/>
      <x:c r="K126" s="58"/>
      <x:c r="L126" s="52" t="str">
        <x:v>完整演練口令、音樂、畫面、道具與人員動線。</x:v>
      </x:c>
      <x:c r="M126" s="52" t="str">
        <x:v>查核表、測試紀錄或核准截圖</x:v>
      </x:c>
      <x:c r="N126" s="54" t="str"/>
      <x:c r="O126" s="56" t="str">
        <x:v>PM／主管</x:v>
      </x:c>
      <x:c r="P126" s="57" t="str"/>
      <x:c r="Q126" s="52" t="str">
        <x:v>原則不得略過；確需排除時，須註明原因並取得主管核准</x:v>
      </x:c>
      <x:c r="R126" s="52" t="str"/>
    </x:row>
    <x:row r="127">
      <x:c r="A127" s="53" t="str"/>
      <x:c r="B127" s="51" t="str">
        <x:v>全部活動</x:v>
      </x:c>
      <x:c r="C127" s="55" t="n">
        <x:v>123</x:v>
      </x:c>
      <x:c r="D127" s="55" t="str">
        <x:v>行前準備</x:v>
      </x:c>
      <x:c r="E127" s="51" t="str">
        <x:v>現場佈置</x:v>
      </x:c>
      <x:c r="F127" s="55" t="str">
        <x:v>必做</x:v>
      </x:c>
      <x:c r="G127" s="51" t="str">
        <x:v>完成布場盤點與留存</x:v>
      </x:c>
      <x:c r="H127" s="51" t="str">
        <x:v>活動前 1 天</x:v>
      </x:c>
      <x:c r="I127" s="55" t="str">
        <x:v>Staff</x:v>
      </x:c>
      <x:c r="J127" s="53" t="str"/>
      <x:c r="K127" s="58"/>
      <x:c r="L127" s="52" t="str">
        <x:v>依清單完成布置物驗收，拍攝全景、各站及修正前後照片。</x:v>
      </x:c>
      <x:c r="M127" s="52" t="str">
        <x:v>核准文件、完成截圖或可追溯紀錄</x:v>
      </x:c>
      <x:c r="N127" s="54" t="str"/>
      <x:c r="O127" s="56" t="str">
        <x:v>PM／主管</x:v>
      </x:c>
      <x:c r="P127" s="57" t="str"/>
      <x:c r="Q127" s="52" t="str">
        <x:v>原則不得略過；確需排除時，須註明原因並取得主管核准</x:v>
      </x:c>
      <x:c r="R127" s="52" t="str"/>
    </x:row>
    <x:row r="128">
      <x:c r="A128" s="53" t="str"/>
      <x:c r="B128" s="51" t="str">
        <x:v>展覽／攤位／園遊會</x:v>
      </x:c>
      <x:c r="C128" s="55" t="n">
        <x:v>124</x:v>
      </x:c>
      <x:c r="D128" s="55" t="str">
        <x:v>行前準備</x:v>
      </x:c>
      <x:c r="E128" s="51" t="str">
        <x:v>現場佈置</x:v>
      </x:c>
      <x:c r="F128" s="55" t="str">
        <x:v>必做</x:v>
      </x:c>
      <x:c r="G128" s="51" t="str">
        <x:v>驗收搭建與用電安全</x:v>
      </x:c>
      <x:c r="H128" s="51" t="str">
        <x:v>活動前 1 天</x:v>
      </x:c>
      <x:c r="I128" s="55" t="str">
        <x:v>PM</x:v>
      </x:c>
      <x:c r="J128" s="53" t="str"/>
      <x:c r="K128" s="58"/>
      <x:c r="L128" s="52" t="str">
        <x:v>驗收結構穩固、配重、防焰、走線、用電、展品固定、網路與消防通道；缺失修正後才簽收。</x:v>
      </x:c>
      <x:c r="M128" s="52" t="str">
        <x:v>照片／影片檔或交付連結</x:v>
      </x:c>
      <x:c r="N128" s="54" t="str"/>
      <x:c r="O128" s="56" t="str">
        <x:v>PM／主管</x:v>
      </x:c>
      <x:c r="P128" s="57" t="str"/>
      <x:c r="Q128" s="52" t="str">
        <x:v>原則不得略過；確需排除時，須註明原因並取得主管核准</x:v>
      </x:c>
      <x:c r="R128" s="52" t="str"/>
    </x:row>
    <x:row r="129">
      <x:c r="A129" s="53" t="str"/>
      <x:c r="B129" s="51" t="str">
        <x:v>展覽／攤位／園遊會、體驗／互動活動</x:v>
      </x:c>
      <x:c r="C129" s="55" t="n">
        <x:v>125</x:v>
      </x:c>
      <x:c r="D129" s="55" t="str">
        <x:v>行前準備</x:v>
      </x:c>
      <x:c r="E129" s="51" t="str">
        <x:v>現場佈置</x:v>
      </x:c>
      <x:c r="F129" s="55" t="str">
        <x:v>必做</x:v>
      </x:c>
      <x:c r="G129" s="51" t="str">
        <x:v>驗收攤位搭建</x:v>
      </x:c>
      <x:c r="H129" s="51" t="str">
        <x:v>活動前 1 天</x:v>
      </x:c>
      <x:c r="I129" s="55" t="str">
        <x:v>PM</x:v>
      </x:c>
      <x:c r="J129" s="53" t="str"/>
      <x:c r="K129" s="58"/>
      <x:c r="L129" s="52" t="str">
        <x:v>檢查結構、配重、防焰、走線、視覺與通道。</x:v>
      </x:c>
      <x:c r="M129" s="52" t="str">
        <x:v>查核表、測試紀錄或核准截圖</x:v>
      </x:c>
      <x:c r="N129" s="54" t="str"/>
      <x:c r="O129" s="56" t="str">
        <x:v>PM／主管</x:v>
      </x:c>
      <x:c r="P129" s="57" t="str"/>
      <x:c r="Q129" s="52" t="str">
        <x:v>原則不得略過；確需排除時，須註明原因並取得主管核准</x:v>
      </x:c>
      <x:c r="R129" s="52" t="str"/>
    </x:row>
    <x:row r="130">
      <x:c r="A130" s="53" t="str"/>
      <x:c r="B130" s="51" t="str">
        <x:v>全部活動</x:v>
      </x:c>
      <x:c r="C130" s="55" t="n">
        <x:v>126</x:v>
      </x:c>
      <x:c r="D130" s="55" t="str">
        <x:v>行前準備</x:v>
      </x:c>
      <x:c r="E130" s="51" t="str">
        <x:v>燈光音響</x:v>
      </x:c>
      <x:c r="F130" s="55" t="str">
        <x:v>必做</x:v>
      </x:c>
      <x:c r="G130" s="51" t="str">
        <x:v>完成設備與網路整合測試</x:v>
      </x:c>
      <x:c r="H130" s="51" t="str">
        <x:v>活動前 1 天</x:v>
      </x:c>
      <x:c r="I130" s="55" t="str">
        <x:v>Staff</x:v>
      </x:c>
      <x:c r="J130" s="53" t="str"/>
      <x:c r="K130" s="58"/>
      <x:c r="L130" s="52" t="str">
        <x:v>一次測試音響、投影、影片、網路及備援切換，記錄異常與修正結果。</x:v>
      </x:c>
      <x:c r="M130" s="52" t="str">
        <x:v>查核表、測試紀錄或核准截圖</x:v>
      </x:c>
      <x:c r="N130" s="54" t="str"/>
      <x:c r="O130" s="56" t="str">
        <x:v>PM／主管</x:v>
      </x:c>
      <x:c r="P130" s="57" t="str"/>
      <x:c r="Q130" s="52" t="str">
        <x:v>原則不得略過；確需排除時，須註明原因並取得主管核准</x:v>
      </x:c>
      <x:c r="R130" s="52" t="str"/>
    </x:row>
    <x:row r="131">
      <x:c r="A131" s="53" t="str"/>
      <x:c r="B131" s="51" t="str">
        <x:v>全部活動</x:v>
      </x:c>
      <x:c r="C131" s="55" t="n">
        <x:v>127</x:v>
      </x:c>
      <x:c r="D131" s="55" t="str">
        <x:v>行前準備</x:v>
      </x:c>
      <x:c r="E131" s="51" t="str">
        <x:v>燈光音響</x:v>
      </x:c>
      <x:c r="F131" s="55" t="str">
        <x:v>必做</x:v>
      </x:c>
      <x:c r="G131" s="51" t="str">
        <x:v>完成進場測試與彩排</x:v>
      </x:c>
      <x:c r="H131" s="51" t="str">
        <x:v>活動前 1 天</x:v>
      </x:c>
      <x:c r="I131" s="55" t="str">
        <x:v>PM</x:v>
      </x:c>
      <x:c r="J131" s="53" t="str"/>
      <x:c r="K131" s="58"/>
      <x:c r="L131" s="52" t="str">
        <x:v>依燈光→舞台→影像→音響→物料順序進場；驗收尺寸、平整、安全走線、收音、畫面、網路、備援電源，完成技術與全流程彩排並關閉缺失。</x:v>
      </x:c>
      <x:c r="M131" s="52" t="str">
        <x:v>查核表、測試紀錄或核准截圖</x:v>
      </x:c>
      <x:c r="N131" s="54" t="str"/>
      <x:c r="O131" s="56" t="str">
        <x:v>PM／主管</x:v>
      </x:c>
      <x:c r="P131" s="57" t="str"/>
      <x:c r="Q131" s="52" t="str">
        <x:v>原則不得略過；確需排除時，須註明原因並取得主管核准</x:v>
      </x:c>
      <x:c r="R131" s="52" t="str">
        <x:v>完成開場前查核</x:v>
      </x:c>
    </x:row>
    <x:row r="132">
      <x:c r="A132" s="53" t="str"/>
      <x:c r="B132" s="51" t="str">
        <x:v>研討會／論壇</x:v>
      </x:c>
      <x:c r="C132" s="55" t="n">
        <x:v>128</x:v>
      </x:c>
      <x:c r="D132" s="55" t="str">
        <x:v>行前準備</x:v>
      </x:c>
      <x:c r="E132" s="51" t="str">
        <x:v>燈光音響</x:v>
      </x:c>
      <x:c r="F132" s="55" t="str">
        <x:v>必做</x:v>
      </x:c>
      <x:c r="G132" s="51" t="str">
        <x:v>測試口譯設備</x:v>
      </x:c>
      <x:c r="H132" s="51" t="str">
        <x:v>活動前 1 天</x:v>
      </x:c>
      <x:c r="I132" s="55" t="str">
        <x:v>Staff</x:v>
      </x:c>
      <x:c r="J132" s="53" t="str"/>
      <x:c r="K132" s="58"/>
      <x:c r="L132" s="52" t="str">
        <x:v>測試發射器、頻道、涵蓋範圍、耳機與回收。</x:v>
      </x:c>
      <x:c r="M132" s="52" t="str">
        <x:v>查核表、測試紀錄或核准截圖</x:v>
      </x:c>
      <x:c r="N132" s="54" t="str"/>
      <x:c r="O132" s="56" t="str">
        <x:v>PM／主管</x:v>
      </x:c>
      <x:c r="P132" s="57" t="str"/>
      <x:c r="Q132" s="52" t="str">
        <x:v>原則不得略過；確需排除時，須註明原因並取得主管核准</x:v>
      </x:c>
      <x:c r="R132" s="52" t="str"/>
    </x:row>
    <x:row r="133">
      <x:c r="A133" s="53" t="str"/>
      <x:c r="B133" s="51" t="str">
        <x:v>線上會議／直播講座</x:v>
      </x:c>
      <x:c r="C133" s="55" t="n">
        <x:v>129</x:v>
      </x:c>
      <x:c r="D133" s="55" t="str">
        <x:v>行前準備</x:v>
      </x:c>
      <x:c r="E133" s="51" t="str">
        <x:v>直播作業</x:v>
      </x:c>
      <x:c r="F133" s="55" t="str">
        <x:v>必做</x:v>
      </x:c>
      <x:c r="G133" s="51" t="str">
        <x:v>完成直播與備援測試</x:v>
      </x:c>
      <x:c r="H133" s="51" t="str">
        <x:v>活動前 1 天</x:v>
      </x:c>
      <x:c r="I133" s="55" t="str">
        <x:v>PM</x:v>
      </x:c>
      <x:c r="J133" s="53" t="str"/>
      <x:c r="K133" s="58"/>
      <x:c r="L133" s="52" t="str">
        <x:v>以正式流程測試主持、講者、畫面、字幕、音源、轉場、錄影、備援網路與備機；確認中斷時切換口令。</x:v>
      </x:c>
      <x:c r="M133" s="52" t="str">
        <x:v>照片／影片檔或交付連結</x:v>
      </x:c>
      <x:c r="N133" s="54" t="str"/>
      <x:c r="O133" s="56" t="str">
        <x:v>PM／主管</x:v>
      </x:c>
      <x:c r="P133" s="57" t="str"/>
      <x:c r="Q133" s="52" t="str">
        <x:v>原則不得略過；確需排除時，須註明原因並取得主管核准</x:v>
      </x:c>
      <x:c r="R133" s="52" t="str"/>
    </x:row>
    <x:row r="134">
      <x:c r="A134" s="53" t="str"/>
      <x:c r="B134" s="51" t="str">
        <x:v>全部活動</x:v>
      </x:c>
      <x:c r="C134" s="55" t="n">
        <x:v>130</x:v>
      </x:c>
      <x:c r="D134" s="55" t="str">
        <x:v>行前準備</x:v>
      </x:c>
      <x:c r="E134" s="51" t="str">
        <x:v>賓客接待</x:v>
      </x:c>
      <x:c r="F134" s="55" t="str">
        <x:v>必做</x:v>
      </x:c>
      <x:c r="G134" s="51" t="str">
        <x:v>測試報到設備</x:v>
      </x:c>
      <x:c r="H134" s="51" t="str">
        <x:v>活動前 1 天</x:v>
      </x:c>
      <x:c r="I134" s="55" t="str">
        <x:v>Staff</x:v>
      </x:c>
      <x:c r="J134" s="53" t="str"/>
      <x:c r="K134" s="58"/>
      <x:c r="L134" s="52" t="str">
        <x:v>測試電腦、平板、掃碼、印表機、標籤機與備援。</x:v>
      </x:c>
      <x:c r="M134" s="52" t="str">
        <x:v>查核表、測試紀錄或核准截圖</x:v>
      </x:c>
      <x:c r="N134" s="54" t="str"/>
      <x:c r="O134" s="56" t="str">
        <x:v>PM／主管</x:v>
      </x:c>
      <x:c r="P134" s="57" t="str"/>
      <x:c r="Q134" s="52" t="str">
        <x:v>原則不得略過；確需排除時，須註明原因並取得主管核准</x:v>
      </x:c>
      <x:c r="R134" s="52" t="str"/>
    </x:row>
    <x:row r="135">
      <x:c r="A135" s="53" t="str"/>
      <x:c r="B135" s="51" t="str">
        <x:v>典禮／頒獎／揭牌</x:v>
      </x:c>
      <x:c r="C135" s="55" t="n">
        <x:v>131</x:v>
      </x:c>
      <x:c r="D135" s="55" t="str">
        <x:v>行前準備</x:v>
      </x:c>
      <x:c r="E135" s="51" t="str">
        <x:v>專業人員</x:v>
      </x:c>
      <x:c r="F135" s="55" t="str">
        <x:v>必做</x:v>
      </x:c>
      <x:c r="G135" s="51" t="str">
        <x:v>完成典禮聯合彩排</x:v>
      </x:c>
      <x:c r="H135" s="51" t="str">
        <x:v>活動前 1 天</x:v>
      </x:c>
      <x:c r="I135" s="55" t="str">
        <x:v>PM</x:v>
      </x:c>
      <x:c r="J135" s="53" t="str"/>
      <x:c r="K135" s="58"/>
      <x:c r="L135" s="52" t="str">
        <x:v>完整演練上台、遞獎、揭牌、燈光音樂、畫面、合照與退場；確認臨時缺席、順序異動與道具故障處理。</x:v>
      </x:c>
      <x:c r="M135" s="52" t="str">
        <x:v>查核表、測試紀錄或核准截圖</x:v>
      </x:c>
      <x:c r="N135" s="54" t="str"/>
      <x:c r="O135" s="56" t="str">
        <x:v>PM／主管</x:v>
      </x:c>
      <x:c r="P135" s="57" t="str"/>
      <x:c r="Q135" s="52" t="str">
        <x:v>原則不得略過；確需排除時，須註明原因並取得主管核准</x:v>
      </x:c>
      <x:c r="R135" s="52" t="str"/>
    </x:row>
    <x:row r="136">
      <x:c r="A136" s="53" t="str"/>
      <x:c r="B136" s="51" t="str">
        <x:v>研討會／論壇</x:v>
      </x:c>
      <x:c r="C136" s="55" t="n">
        <x:v>132</x:v>
      </x:c>
      <x:c r="D136" s="55" t="str">
        <x:v>行前準備</x:v>
      </x:c>
      <x:c r="E136" s="51" t="str">
        <x:v>現場佈置</x:v>
      </x:c>
      <x:c r="F136" s="55" t="str">
        <x:v>條件式</x:v>
      </x:c>
      <x:c r="G136" s="51" t="str">
        <x:v>完成展覽區驗收</x:v>
      </x:c>
      <x:c r="H136" s="51" t="str">
        <x:v>活動前 1 天</x:v>
      </x:c>
      <x:c r="I136" s="55" t="str">
        <x:v>PM</x:v>
      </x:c>
      <x:c r="J136" s="53" t="str"/>
      <x:c r="K136" s="58"/>
      <x:c r="L136" s="52" t="str">
        <x:v>依配置圖一次查核攤位、展品、用電、走道、消防、視覺與參展單位簽到。</x:v>
      </x:c>
      <x:c r="M136" s="52" t="str">
        <x:v>查核表、測試紀錄或核准截圖</x:v>
      </x:c>
      <x:c r="N136" s="54" t="str"/>
      <x:c r="O136" s="56" t="str">
        <x:v>PM</x:v>
      </x:c>
      <x:c r="P136" s="57" t="str"/>
      <x:c r="Q136" s="52" t="str">
        <x:v>不適用時填寫原因，由 PM 確認後關閉</x:v>
      </x:c>
      <x:c r="R136" s="52" t="str"/>
    </x:row>
    <x:row r="137">
      <x:c r="A137" s="53" t="str"/>
      <x:c r="B137" s="51" t="str">
        <x:v>研討會／論壇</x:v>
      </x:c>
      <x:c r="C137" s="55" t="n">
        <x:v>133</x:v>
      </x:c>
      <x:c r="D137" s="55" t="str">
        <x:v>行前準備</x:v>
      </x:c>
      <x:c r="E137" s="51" t="str">
        <x:v>現場佈置</x:v>
      </x:c>
      <x:c r="F137" s="55" t="str">
        <x:v>條件式</x:v>
      </x:c>
      <x:c r="G137" s="51" t="str">
        <x:v>完成論文海報布撤展</x:v>
      </x:c>
      <x:c r="H137" s="51" t="str">
        <x:v>活動前 1 天</x:v>
      </x:c>
      <x:c r="I137" s="55" t="str">
        <x:v>Staff</x:v>
      </x:c>
      <x:c r="J137" s="53" t="str"/>
      <x:c r="K137" s="58"/>
      <x:c r="L137" s="52" t="str">
        <x:v>依編號完成張貼與巡查，活動後辦理撤展、未領取海報保管及現場復原。</x:v>
      </x:c>
      <x:c r="M137" s="52" t="str">
        <x:v>核准文件、完成截圖或可追溯紀錄</x:v>
      </x:c>
      <x:c r="N137" s="54" t="str"/>
      <x:c r="O137" s="56" t="str">
        <x:v>PM</x:v>
      </x:c>
      <x:c r="P137" s="57" t="str"/>
      <x:c r="Q137" s="52" t="str">
        <x:v>不適用時填寫原因，由 PM 確認後關閉</x:v>
      </x:c>
      <x:c r="R137" s="52" t="str"/>
    </x:row>
    <x:row r="138">
      <x:c r="A138" s="53" t="str"/>
      <x:c r="B138" s="51" t="str">
        <x:v>全部活動</x:v>
      </x:c>
      <x:c r="C138" s="55" t="n">
        <x:v>134</x:v>
      </x:c>
      <x:c r="D138" s="55" t="str">
        <x:v>行前準備</x:v>
      </x:c>
      <x:c r="E138" s="51" t="str">
        <x:v>後勤作業</x:v>
      </x:c>
      <x:c r="F138" s="55" t="str">
        <x:v>條件式</x:v>
      </x:c>
      <x:c r="G138" s="51" t="str">
        <x:v>確認撤場流程</x:v>
      </x:c>
      <x:c r="H138" s="51" t="str">
        <x:v>活動前 1 天</x:v>
      </x:c>
      <x:c r="I138" s="55" t="str">
        <x:v>PM</x:v>
      </x:c>
      <x:c r="J138" s="53" t="str"/>
      <x:c r="K138" s="58"/>
      <x:c r="L138" s="52" t="str">
        <x:v>確認撤場順序、車輛、回收、垃圾與場地點交。</x:v>
      </x:c>
      <x:c r="M138" s="52" t="str">
        <x:v>查核表、測試紀錄或核准截圖</x:v>
      </x:c>
      <x:c r="N138" s="54" t="str"/>
      <x:c r="O138" s="56" t="str">
        <x:v>PM</x:v>
      </x:c>
      <x:c r="P138" s="57" t="str"/>
      <x:c r="Q138" s="52" t="str">
        <x:v>不適用時填寫原因，由 PM 確認後關閉</x:v>
      </x:c>
      <x:c r="R138" s="52" t="str"/>
    </x:row>
    <x:row r="139">
      <x:c r="A139" s="53" t="str"/>
      <x:c r="B139" s="51" t="str">
        <x:v>全部活動</x:v>
      </x:c>
      <x:c r="C139" s="55" t="n">
        <x:v>135</x:v>
      </x:c>
      <x:c r="D139" s="55" t="str">
        <x:v>活動當天</x:v>
      </x:c>
      <x:c r="E139" s="51" t="str">
        <x:v>專案統籌</x:v>
      </x:c>
      <x:c r="F139" s="55" t="str">
        <x:v>必做</x:v>
      </x:c>
      <x:c r="G139" s="51" t="str">
        <x:v>完成開場前查核</x:v>
      </x:c>
      <x:c r="H139" s="51" t="str">
        <x:v>活動當天</x:v>
      </x:c>
      <x:c r="I139" s="55" t="str">
        <x:v>PM</x:v>
      </x:c>
      <x:c r="J139" s="53" t="str"/>
      <x:c r="K139" s="58"/>
      <x:c r="L139" s="52" t="str">
        <x:v>開場前逐站簽核人員到位、流程版本、簡報影音、麥克風電量、道具順序、貴賓動線、報到、餐飲、消防出口與緊急聯絡。</x:v>
      </x:c>
      <x:c r="M139" s="52" t="str">
        <x:v>查核表、測試紀錄或核准截圖</x:v>
      </x:c>
      <x:c r="N139" s="54" t="str"/>
      <x:c r="O139" s="56" t="str">
        <x:v>PM／主管</x:v>
      </x:c>
      <x:c r="P139" s="57" t="str"/>
      <x:c r="Q139" s="52" t="str">
        <x:v>原則不得略過；確需排除時，須註明原因並取得主管核准</x:v>
      </x:c>
      <x:c r="R139" s="52" t="str"/>
    </x:row>
    <x:row r="140">
      <x:c r="A140" s="53" t="str"/>
      <x:c r="B140" s="51" t="str">
        <x:v>線上會議／直播講座</x:v>
      </x:c>
      <x:c r="C140" s="55" t="n">
        <x:v>136</x:v>
      </x:c>
      <x:c r="D140" s="55" t="str">
        <x:v>活動當天</x:v>
      </x:c>
      <x:c r="E140" s="51" t="str">
        <x:v>直播作業</x:v>
      </x:c>
      <x:c r="F140" s="55" t="str">
        <x:v>必做</x:v>
      </x:c>
      <x:c r="G140" s="51" t="str">
        <x:v>監控直播訊號</x:v>
      </x:c>
      <x:c r="H140" s="51" t="str">
        <x:v>活動當天</x:v>
      </x:c>
      <x:c r="I140" s="55" t="str">
        <x:v>Staff</x:v>
      </x:c>
      <x:c r="J140" s="53" t="str"/>
      <x:c r="K140" s="58"/>
      <x:c r="L140" s="52" t="str">
        <x:v>監看畫面、聲音、延遲、在線人數與備援切換。</x:v>
      </x:c>
      <x:c r="M140" s="52" t="str">
        <x:v>網址、權限截圖或測試紀錄</x:v>
      </x:c>
      <x:c r="N140" s="54" t="str"/>
      <x:c r="O140" s="56" t="str">
        <x:v>PM／主管</x:v>
      </x:c>
      <x:c r="P140" s="57" t="str"/>
      <x:c r="Q140" s="52" t="str">
        <x:v>原則不得略過；確需排除時，須註明原因並取得主管核准</x:v>
      </x:c>
      <x:c r="R140" s="52" t="str"/>
    </x:row>
    <x:row r="141">
      <x:c r="A141" s="53" t="str"/>
      <x:c r="B141" s="51" t="str">
        <x:v>研討會／論壇、一般會議／審查會</x:v>
      </x:c>
      <x:c r="C141" s="55" t="n">
        <x:v>137</x:v>
      </x:c>
      <x:c r="D141" s="55" t="str">
        <x:v>活動當天</x:v>
      </x:c>
      <x:c r="E141" s="51" t="str">
        <x:v>賓客接待</x:v>
      </x:c>
      <x:c r="F141" s="55" t="str">
        <x:v>條件式</x:v>
      </x:c>
      <x:c r="G141" s="51" t="str">
        <x:v>執行 City Tour 與結案</x:v>
      </x:c>
      <x:c r="H141" s="51" t="str">
        <x:v>活動當天</x:v>
      </x:c>
      <x:c r="I141" s="55" t="str">
        <x:v>PM</x:v>
      </x:c>
      <x:c r="J141" s="53" t="str"/>
      <x:c r="K141" s="58"/>
      <x:c r="L141" s="52" t="str">
        <x:v>完成集合清點、車次與導覽控場、緊急應變；活動後核對費用、照片及意見回饋。</x:v>
      </x:c>
      <x:c r="M141" s="52" t="str">
        <x:v>核准文件、完成截圖或可追溯紀錄</x:v>
      </x:c>
      <x:c r="N141" s="54" t="str"/>
      <x:c r="O141" s="56" t="str">
        <x:v>PM</x:v>
      </x:c>
      <x:c r="P141" s="57" t="str"/>
      <x:c r="Q141" s="52" t="str">
        <x:v>不適用時填寫原因，由 PM 確認後關閉</x:v>
      </x:c>
      <x:c r="R141" s="52" t="str"/>
    </x:row>
    <x:row r="142">
      <x:c r="A142" s="53" t="str"/>
      <x:c r="B142" s="51" t="str">
        <x:v>展覽／攤位／園遊會</x:v>
      </x:c>
      <x:c r="C142" s="55" t="n">
        <x:v>138</x:v>
      </x:c>
      <x:c r="D142" s="55" t="str">
        <x:v>活動當天</x:v>
      </x:c>
      <x:c r="E142" s="51" t="str">
        <x:v>後勤作業</x:v>
      </x:c>
      <x:c r="F142" s="55" t="str">
        <x:v>條件式</x:v>
      </x:c>
      <x:c r="G142" s="51" t="str">
        <x:v>安排補給與撤展清點</x:v>
      </x:c>
      <x:c r="H142" s="51" t="str">
        <x:v>活動當天</x:v>
      </x:c>
      <x:c r="I142" s="55" t="str">
        <x:v>Staff</x:v>
      </x:c>
      <x:c r="J142" s="53" t="str"/>
      <x:c r="K142" s="58"/>
      <x:c r="L142" s="52" t="str">
        <x:v>建立贈品、文宣、耗材補給點及輪班表；每日盤點，撤展依編號回收展品、器材與可再用物料。</x:v>
      </x:c>
      <x:c r="M142" s="52" t="str">
        <x:v>核准文件、完成截圖或可追溯紀錄</x:v>
      </x:c>
      <x:c r="N142" s="54" t="str"/>
      <x:c r="O142" s="56" t="str">
        <x:v>PM</x:v>
      </x:c>
      <x:c r="P142" s="57" t="str"/>
      <x:c r="Q142" s="52" t="str">
        <x:v>不適用時填寫原因，由 PM 確認後關閉</x:v>
      </x:c>
      <x:c r="R142" s="52" t="str"/>
    </x:row>
    <x:row r="143">
      <x:c r="A143" s="53" t="str"/>
      <x:c r="B143" s="51" t="str">
        <x:v>全部活動</x:v>
      </x:c>
      <x:c r="C143" s="55" t="n">
        <x:v>139</x:v>
      </x:c>
      <x:c r="D143" s="55" t="str">
        <x:v>結案追蹤</x:v>
      </x:c>
      <x:c r="E143" s="51" t="str">
        <x:v>後勤作業</x:v>
      </x:c>
      <x:c r="F143" s="55" t="str">
        <x:v>必做</x:v>
      </x:c>
      <x:c r="G143" s="51" t="str">
        <x:v>完成撤場復原與物資回收</x:v>
      </x:c>
      <x:c r="H143" s="51" t="str">
        <x:v>活動後 1 天</x:v>
      </x:c>
      <x:c r="I143" s="55" t="str">
        <x:v>Staff</x:v>
      </x:c>
      <x:c r="J143" s="53" t="str"/>
      <x:c r="K143" s="58"/>
      <x:c r="L143" s="52" t="str">
        <x:v>完成設備拆除、物資回收、垃圾清運及場地點交。</x:v>
      </x:c>
      <x:c r="M143" s="52" t="str">
        <x:v>場地文件、點交紀錄或現場照片</x:v>
      </x:c>
      <x:c r="N143" s="54" t="str"/>
      <x:c r="O143" s="56" t="str">
        <x:v>PM／主管</x:v>
      </x:c>
      <x:c r="P143" s="57" t="str"/>
      <x:c r="Q143" s="52" t="str">
        <x:v>原則不得略過；確需排除時，須註明原因並取得主管核准</x:v>
      </x:c>
      <x:c r="R143" s="52" t="str"/>
    </x:row>
    <x:row r="144">
      <x:c r="A144" s="53" t="str"/>
      <x:c r="B144" s="51" t="str">
        <x:v>全部活動</x:v>
      </x:c>
      <x:c r="C144" s="55" t="n">
        <x:v>140</x:v>
      </x:c>
      <x:c r="D144" s="55" t="str">
        <x:v>結案追蹤</x:v>
      </x:c>
      <x:c r="E144" s="51" t="str">
        <x:v>後勤作業</x:v>
      </x:c>
      <x:c r="F144" s="55" t="str">
        <x:v>條件式</x:v>
      </x:c>
      <x:c r="G144" s="51" t="str">
        <x:v>完成撤場與結算</x:v>
      </x:c>
      <x:c r="H144" s="51" t="str">
        <x:v>活動後 1 天</x:v>
      </x:c>
      <x:c r="I144" s="55" t="str">
        <x:v>Staff</x:v>
      </x:c>
      <x:c r="J144" s="53" t="str"/>
      <x:c r="K144" s="58"/>
      <x:c r="L144" s="52" t="str">
        <x:v>依清單回收對講機、電腦、工作證、照片與可再用物資；辦理撤場、押金、收據及垃圾清運，確認場地復原後離場。</x:v>
      </x:c>
      <x:c r="M144" s="52" t="str">
        <x:v>場地文件、點交紀錄或現場照片</x:v>
      </x:c>
      <x:c r="N144" s="54" t="str"/>
      <x:c r="O144" s="56" t="str">
        <x:v>PM</x:v>
      </x:c>
      <x:c r="P144" s="57" t="str"/>
      <x:c r="Q144" s="52" t="str">
        <x:v>不適用時填寫原因，由 PM 確認後關閉</x:v>
      </x:c>
      <x:c r="R144" s="52" t="str">
        <x:v>交付成果並結案</x:v>
      </x:c>
    </x:row>
    <x:row r="145">
      <x:c r="A145" s="53" t="str"/>
      <x:c r="B145" s="51" t="str">
        <x:v>記者會／媒體活動、典禮／頒獎／揭牌、展覽／攤位／園遊會、巡迴宣導／說明會</x:v>
      </x:c>
      <x:c r="C145" s="55" t="n">
        <x:v>141</x:v>
      </x:c>
      <x:c r="D145" s="55" t="str">
        <x:v>結案追蹤</x:v>
      </x:c>
      <x:c r="E145" s="51" t="str">
        <x:v>媒體露出</x:v>
      </x:c>
      <x:c r="F145" s="55" t="str">
        <x:v>條件式</x:v>
      </x:c>
      <x:c r="G145" s="51" t="str">
        <x:v>發送會後素材</x:v>
      </x:c>
      <x:c r="H145" s="51" t="str">
        <x:v>活動後 1 天</x:v>
      </x:c>
      <x:c r="I145" s="55" t="str">
        <x:v>Staff</x:v>
      </x:c>
      <x:c r="J145" s="53" t="str"/>
      <x:c r="K145" s="58"/>
      <x:c r="L145" s="52" t="str">
        <x:v>會後即時提供核准稿件、照片與影音。</x:v>
      </x:c>
      <x:c r="M145" s="52" t="str">
        <x:v>照片／影片檔或交付連結</x:v>
      </x:c>
      <x:c r="N145" s="54" t="str"/>
      <x:c r="O145" s="56" t="str">
        <x:v>PM</x:v>
      </x:c>
      <x:c r="P145" s="57" t="str"/>
      <x:c r="Q145" s="52" t="str">
        <x:v>不適用時填寫原因，由 PM 確認後關閉</x:v>
      </x:c>
      <x:c r="R145" s="52" t="str"/>
    </x:row>
    <x:row r="146">
      <x:c r="A146" s="53" t="str"/>
      <x:c r="B146" s="51" t="str">
        <x:v>跨區多梯次活動</x:v>
      </x:c>
      <x:c r="C146" s="55" t="n">
        <x:v>142</x:v>
      </x:c>
      <x:c r="D146" s="55" t="str">
        <x:v>結案追蹤</x:v>
      </x:c>
      <x:c r="E146" s="51" t="str">
        <x:v>結案成果</x:v>
      </x:c>
      <x:c r="F146" s="55" t="str">
        <x:v>條件式</x:v>
      </x:c>
      <x:c r="G146" s="51" t="str">
        <x:v>完成梯次復盤與修正</x:v>
      </x:c>
      <x:c r="H146" s="51" t="str">
        <x:v>活動後 1 天</x:v>
      </x:c>
      <x:c r="I146" s="55" t="str">
        <x:v>PM</x:v>
      </x:c>
      <x:c r="J146" s="53" t="str"/>
      <x:c r="K146" s="58"/>
      <x:c r="L146" s="52" t="str">
        <x:v>每梯結束立即更新流程、教材、物資、人力與風險清單，明列修正人及下一場完成期限。</x:v>
      </x:c>
      <x:c r="M146" s="52" t="str">
        <x:v>核准文件、完成截圖或可追溯紀錄</x:v>
      </x:c>
      <x:c r="N146" s="54" t="str"/>
      <x:c r="O146" s="56" t="str">
        <x:v>PM</x:v>
      </x:c>
      <x:c r="P146" s="57" t="str"/>
      <x:c r="Q146" s="52" t="str">
        <x:v>不適用時填寫原因，由 PM 確認後關閉</x:v>
      </x:c>
      <x:c r="R146" s="52" t="str"/>
    </x:row>
    <x:row r="147">
      <x:c r="A147" s="53" t="str"/>
      <x:c r="B147" s="51" t="str">
        <x:v>巡迴宣導／說明會、跨區多梯次活動</x:v>
      </x:c>
      <x:c r="C147" s="55" t="n">
        <x:v>143</x:v>
      </x:c>
      <x:c r="D147" s="55" t="str">
        <x:v>結案追蹤</x:v>
      </x:c>
      <x:c r="E147" s="51" t="str">
        <x:v>結案成果</x:v>
      </x:c>
      <x:c r="F147" s="55" t="str">
        <x:v>條件式</x:v>
      </x:c>
      <x:c r="G147" s="51" t="str">
        <x:v>完成單場復盤</x:v>
      </x:c>
      <x:c r="H147" s="51" t="str">
        <x:v>活動後 1 天</x:v>
      </x:c>
      <x:c r="I147" s="55" t="str">
        <x:v>PM</x:v>
      </x:c>
      <x:c r="J147" s="53" t="str"/>
      <x:c r="K147" s="58"/>
      <x:c r="L147" s="52" t="str">
        <x:v>每場結束立即更新問題與下一場修正事項。</x:v>
      </x:c>
      <x:c r="M147" s="52" t="str">
        <x:v>核准文件、完成截圖或可追溯紀錄</x:v>
      </x:c>
      <x:c r="N147" s="54" t="str"/>
      <x:c r="O147" s="56" t="str">
        <x:v>PM</x:v>
      </x:c>
      <x:c r="P147" s="57" t="str"/>
      <x:c r="Q147" s="52" t="str">
        <x:v>不適用時填寫原因，由 PM 確認後關閉</x:v>
      </x:c>
      <x:c r="R147" s="52" t="str"/>
    </x:row>
    <x:row r="148">
      <x:c r="A148" s="53" t="str"/>
      <x:c r="B148" s="51" t="str">
        <x:v>巡迴宣導／說明會</x:v>
      </x:c>
      <x:c r="C148" s="55" t="n">
        <x:v>144</x:v>
      </x:c>
      <x:c r="D148" s="55" t="str">
        <x:v>結案追蹤</x:v>
      </x:c>
      <x:c r="E148" s="51" t="str">
        <x:v>結案成果</x:v>
      </x:c>
      <x:c r="F148" s="55" t="str">
        <x:v>條件式</x:v>
      </x:c>
      <x:c r="G148" s="51" t="str">
        <x:v>完成場次紀錄與修正</x:v>
      </x:c>
      <x:c r="H148" s="51" t="str">
        <x:v>活動後 1 天</x:v>
      </x:c>
      <x:c r="I148" s="55" t="str">
        <x:v>PM</x:v>
      </x:c>
      <x:c r="J148" s="53" t="str"/>
      <x:c r="K148" s="58"/>
      <x:c r="L148" s="52" t="str">
        <x:v>每場結束記錄出席、照片、問題、遺失損壞與改善事項；下一場出發前確認已完成修正。</x:v>
      </x:c>
      <x:c r="M148" s="52" t="str">
        <x:v>核准文件、完成截圖或可追溯紀錄</x:v>
      </x:c>
      <x:c r="N148" s="54" t="str"/>
      <x:c r="O148" s="56" t="str">
        <x:v>PM</x:v>
      </x:c>
      <x:c r="P148" s="57" t="str"/>
      <x:c r="Q148" s="52" t="str">
        <x:v>不適用時填寫原因，由 PM 確認後關閉</x:v>
      </x:c>
      <x:c r="R148" s="52" t="str"/>
    </x:row>
    <x:row r="149">
      <x:c r="A149" s="53" t="str"/>
      <x:c r="B149" s="51" t="str">
        <x:v>一般會議／審查會</x:v>
      </x:c>
      <x:c r="C149" s="55" t="n">
        <x:v>145</x:v>
      </x:c>
      <x:c r="D149" s="55" t="str">
        <x:v>結案追蹤</x:v>
      </x:c>
      <x:c r="E149" s="51" t="str">
        <x:v>結案成果</x:v>
      </x:c>
      <x:c r="F149" s="55" t="str">
        <x:v>條件式</x:v>
      </x:c>
      <x:c r="G149" s="51" t="str">
        <x:v>發布決議與追蹤事項</x:v>
      </x:c>
      <x:c r="H149" s="51" t="str">
        <x:v>活動後 2 天</x:v>
      </x:c>
      <x:c r="I149" s="55" t="str">
        <x:v>PM</x:v>
      </x:c>
      <x:c r="J149" s="53" t="str"/>
      <x:c r="K149" s="58"/>
      <x:c r="L149" s="52" t="str">
        <x:v>會後彙整出席、決議、不同意見、責任人與完成期限，交主持人確認後發送並納入追蹤。</x:v>
      </x:c>
      <x:c r="M149" s="52" t="str">
        <x:v>核准文件、完成截圖或可追溯紀錄</x:v>
      </x:c>
      <x:c r="N149" s="54" t="str"/>
      <x:c r="O149" s="56" t="str">
        <x:v>PM</x:v>
      </x:c>
      <x:c r="P149" s="57" t="str"/>
      <x:c r="Q149" s="52" t="str">
        <x:v>不適用時填寫原因，由 PM 確認後關閉</x:v>
      </x:c>
      <x:c r="R149" s="52" t="str"/>
    </x:row>
    <x:row r="150">
      <x:c r="A150" s="53" t="str"/>
      <x:c r="B150" s="51" t="str">
        <x:v>全部活動</x:v>
      </x:c>
      <x:c r="C150" s="55" t="n">
        <x:v>146</x:v>
      </x:c>
      <x:c r="D150" s="55" t="str">
        <x:v>結案追蹤</x:v>
      </x:c>
      <x:c r="E150" s="51" t="str">
        <x:v>後勤作業</x:v>
      </x:c>
      <x:c r="F150" s="55" t="str">
        <x:v>條件式</x:v>
      </x:c>
      <x:c r="G150" s="51" t="str">
        <x:v>完成費用統計</x:v>
      </x:c>
      <x:c r="H150" s="51" t="str">
        <x:v>活動後 4 天</x:v>
      </x:c>
      <x:c r="I150" s="55" t="str">
        <x:v>PM</x:v>
      </x:c>
      <x:c r="J150" s="53" t="str"/>
      <x:c r="K150" s="58"/>
      <x:c r="L150" s="52" t="str">
        <x:v>彙整實支、追加、發票、領據及預算差異。</x:v>
      </x:c>
      <x:c r="M150" s="52" t="str">
        <x:v>報價、合約、憑證或核准紀錄</x:v>
      </x:c>
      <x:c r="N150" s="54" t="str"/>
      <x:c r="O150" s="56" t="str">
        <x:v>PM</x:v>
      </x:c>
      <x:c r="P150" s="57" t="str"/>
      <x:c r="Q150" s="52" t="str">
        <x:v>不適用時填寫原因，由 PM 確認後關閉</x:v>
      </x:c>
      <x:c r="R150" s="52" t="str"/>
    </x:row>
    <x:row r="151">
      <x:c r="A151" s="53" t="str"/>
      <x:c r="B151" s="51" t="str">
        <x:v>教育訓練／工作坊</x:v>
      </x:c>
      <x:c r="C151" s="55" t="n">
        <x:v>147</x:v>
      </x:c>
      <x:c r="D151" s="55" t="str">
        <x:v>結案追蹤</x:v>
      </x:c>
      <x:c r="E151" s="51" t="str">
        <x:v>結案成果</x:v>
      </x:c>
      <x:c r="F151" s="55" t="str">
        <x:v>條件式</x:v>
      </x:c>
      <x:c r="G151" s="51" t="str">
        <x:v>彙整評量與課程成果</x:v>
      </x:c>
      <x:c r="H151" s="51" t="str">
        <x:v>活動後 4 天</x:v>
      </x:c>
      <x:c r="I151" s="55" t="str">
        <x:v>PM</x:v>
      </x:c>
      <x:c r="J151" s="53" t="str"/>
      <x:c r="K151" s="58"/>
      <x:c r="L151" s="52" t="str">
        <x:v>完成出席、前後測、滿意度、作品或作業、證書及照片彙整，對未達標項目提出改善。</x:v>
      </x:c>
      <x:c r="M151" s="52" t="str">
        <x:v>核准文件、完成截圖或可追溯紀錄</x:v>
      </x:c>
      <x:c r="N151" s="54" t="str"/>
      <x:c r="O151" s="56" t="str">
        <x:v>PM</x:v>
      </x:c>
      <x:c r="P151" s="57" t="str"/>
      <x:c r="Q151" s="52" t="str">
        <x:v>不適用時填寫原因，由 PM 確認後關閉</x:v>
      </x:c>
      <x:c r="R151" s="52" t="str"/>
    </x:row>
    <x:row r="152">
      <x:c r="A152" s="53" t="str"/>
      <x:c r="B152" s="51" t="str">
        <x:v>全部活動</x:v>
      </x:c>
      <x:c r="C152" s="55" t="n">
        <x:v>148</x:v>
      </x:c>
      <x:c r="D152" s="55" t="str">
        <x:v>結案追蹤</x:v>
      </x:c>
      <x:c r="E152" s="51" t="str">
        <x:v>結案成果</x:v>
      </x:c>
      <x:c r="F152" s="55" t="str">
        <x:v>必做</x:v>
      </x:c>
      <x:c r="G152" s="51" t="str">
        <x:v>完成客戶驗收</x:v>
      </x:c>
      <x:c r="H152" s="51" t="str">
        <x:v>活動後 1 週</x:v>
      </x:c>
      <x:c r="I152" s="55" t="str">
        <x:v>PM</x:v>
      </x:c>
      <x:c r="J152" s="53" t="str"/>
      <x:c r="K152" s="58"/>
      <x:c r="L152" s="52" t="str">
        <x:v>依合約提交證明並取得驗收或待改善紀錄。</x:v>
      </x:c>
      <x:c r="M152" s="52" t="str">
        <x:v>查核表、測試紀錄或核准截圖</x:v>
      </x:c>
      <x:c r="N152" s="54" t="str"/>
      <x:c r="O152" s="56" t="str">
        <x:v>PM／主管</x:v>
      </x:c>
      <x:c r="P152" s="57" t="str"/>
      <x:c r="Q152" s="52" t="str">
        <x:v>原則不得略過；確需排除時，須註明原因並取得主管核准</x:v>
      </x:c>
      <x:c r="R152" s="52" t="str"/>
    </x:row>
    <x:row r="153">
      <x:c r="A153" s="53" t="str"/>
      <x:c r="B153" s="51" t="str">
        <x:v>記者會／媒體活動</x:v>
      </x:c>
      <x:c r="C153" s="55" t="n">
        <x:v>149</x:v>
      </x:c>
      <x:c r="D153" s="55" t="str">
        <x:v>結案追蹤</x:v>
      </x:c>
      <x:c r="E153" s="51" t="str">
        <x:v>媒體露出</x:v>
      </x:c>
      <x:c r="F153" s="55" t="str">
        <x:v>條件式</x:v>
      </x:c>
      <x:c r="G153" s="51" t="str">
        <x:v>交付素材與媒體監測</x:v>
      </x:c>
      <x:c r="H153" s="51" t="str">
        <x:v>活動後 1 週</x:v>
      </x:c>
      <x:c r="I153" s="55" t="str">
        <x:v>Staff</x:v>
      </x:c>
      <x:c r="J153" s="53" t="str"/>
      <x:c r="K153" s="58"/>
      <x:c r="L153" s="52" t="str">
        <x:v>會後即時提供正確稿件、照片、影音與聯絡窗口；彙整露出數、調性、重點媒體、錯誤更正及後續追蹤。</x:v>
      </x:c>
      <x:c r="M153" s="52" t="str">
        <x:v>照片／影片檔或交付連結</x:v>
      </x:c>
      <x:c r="N153" s="54" t="str"/>
      <x:c r="O153" s="56" t="str">
        <x:v>PM</x:v>
      </x:c>
      <x:c r="P153" s="57" t="str"/>
      <x:c r="Q153" s="52" t="str">
        <x:v>不適用時填寫原因，由 PM 確認後關閉</x:v>
      </x:c>
      <x:c r="R153" s="52" t="str"/>
    </x:row>
    <x:row r="154">
      <x:c r="A154" s="53" t="str"/>
      <x:c r="B154" s="51" t="str">
        <x:v>記者會／媒體活動、典禮／頒獎／揭牌、展覽／攤位／園遊會、巡迴宣導／說明會</x:v>
      </x:c>
      <x:c r="C154" s="55" t="n">
        <x:v>150</x:v>
      </x:c>
      <x:c r="D154" s="55" t="str">
        <x:v>結案追蹤</x:v>
      </x:c>
      <x:c r="E154" s="51" t="str">
        <x:v>媒體露出</x:v>
      </x:c>
      <x:c r="F154" s="55" t="str">
        <x:v>條件式</x:v>
      </x:c>
      <x:c r="G154" s="51" t="str">
        <x:v>完成媒體監測</x:v>
      </x:c>
      <x:c r="H154" s="51" t="str">
        <x:v>活動後 1 週</x:v>
      </x:c>
      <x:c r="I154" s="55" t="str">
        <x:v>Staff</x:v>
      </x:c>
      <x:c r="J154" s="53" t="str"/>
      <x:c r="K154" s="58"/>
      <x:c r="L154" s="52" t="str">
        <x:v>彙整露出、連結、調性、錯誤更正與成效。</x:v>
      </x:c>
      <x:c r="M154" s="52" t="str">
        <x:v>核准文件、完成截圖或可追溯紀錄</x:v>
      </x:c>
      <x:c r="N154" s="54" t="str"/>
      <x:c r="O154" s="56" t="str">
        <x:v>PM</x:v>
      </x:c>
      <x:c r="P154" s="57" t="str"/>
      <x:c r="Q154" s="52" t="str">
        <x:v>不適用時填寫原因，由 PM 確認後關閉</x:v>
      </x:c>
      <x:c r="R154" s="52" t="str"/>
    </x:row>
    <x:row r="155">
      <x:c r="A155" s="53" t="str"/>
      <x:c r="B155" s="51" t="str">
        <x:v>全部活動</x:v>
      </x:c>
      <x:c r="C155" s="55" t="n">
        <x:v>151</x:v>
      </x:c>
      <x:c r="D155" s="55" t="str">
        <x:v>結案追蹤</x:v>
      </x:c>
      <x:c r="E155" s="51" t="str">
        <x:v>結案成果</x:v>
      </x:c>
      <x:c r="F155" s="55" t="str">
        <x:v>條件式</x:v>
      </x:c>
      <x:c r="G155" s="51" t="str">
        <x:v>交付成果並結案</x:v>
      </x:c>
      <x:c r="H155" s="51" t="str">
        <x:v>活動後 1 週</x:v>
      </x:c>
      <x:c r="I155" s="55" t="str">
        <x:v>PM</x:v>
      </x:c>
      <x:c r="J155" s="53" t="str"/>
      <x:c r="K155" s="58"/>
      <x:c r="L155" s="52" t="str">
        <x:v>交付照片影音、出席統計、媒體監測或問卷成果；完成供應商請款、費用差異、客戶驗收、缺失與可複用資產歸檔。</x:v>
      </x:c>
      <x:c r="M155" s="52" t="str">
        <x:v>報價、合約、憑證或核准紀錄</x:v>
      </x:c>
      <x:c r="N155" s="54" t="str"/>
      <x:c r="O155" s="56" t="str">
        <x:v>PM</x:v>
      </x:c>
      <x:c r="P155" s="57" t="str"/>
      <x:c r="Q155" s="52" t="str">
        <x:v>不適用時填寫原因，由 PM 確認後關閉</x:v>
      </x:c>
      <x:c r="R155" s="52" t="str"/>
    </x:row>
    <x:row r="156">
      <x:c r="A156" s="53" t="str"/>
      <x:c r="B156" s="51" t="str">
        <x:v>全部活動</x:v>
      </x:c>
      <x:c r="C156" s="55" t="n">
        <x:v>152</x:v>
      </x:c>
      <x:c r="D156" s="55" t="str">
        <x:v>結案追蹤</x:v>
      </x:c>
      <x:c r="E156" s="51" t="str">
        <x:v>結案成果</x:v>
      </x:c>
      <x:c r="F156" s="55" t="str">
        <x:v>條件式</x:v>
      </x:c>
      <x:c r="G156" s="51" t="str">
        <x:v>完成檢討紀錄</x:v>
      </x:c>
      <x:c r="H156" s="51" t="str">
        <x:v>活動後 1 週</x:v>
      </x:c>
      <x:c r="I156" s="55" t="str">
        <x:v>PM</x:v>
      </x:c>
      <x:c r="J156" s="53" t="str"/>
      <x:c r="K156" s="58"/>
      <x:c r="L156" s="52" t="str">
        <x:v>記錄問題、原因、改善方式與可沿用資產。</x:v>
      </x:c>
      <x:c r="M156" s="52" t="str">
        <x:v>核准文件、完成截圖或可追溯紀錄</x:v>
      </x:c>
      <x:c r="N156" s="54" t="str"/>
      <x:c r="O156" s="56" t="str">
        <x:v>PM</x:v>
      </x:c>
      <x:c r="P156" s="57" t="str"/>
      <x:c r="Q156" s="52" t="str">
        <x:v>不適用時填寫原因，由 PM 確認後關閉</x:v>
      </x:c>
      <x:c r="R156" s="52" t="str"/>
    </x:row>
    <x:row r="157">
      <x:c r="A157" s="53" t="str"/>
      <x:c r="B157" s="51" t="str">
        <x:v>全部活動</x:v>
      </x:c>
      <x:c r="C157" s="55" t="n">
        <x:v>153</x:v>
      </x:c>
      <x:c r="D157" s="55" t="str">
        <x:v>結案追蹤</x:v>
      </x:c>
      <x:c r="E157" s="51" t="str">
        <x:v>結案成果</x:v>
      </x:c>
      <x:c r="F157" s="55" t="str">
        <x:v>條件式</x:v>
      </x:c>
      <x:c r="G157" s="51" t="str">
        <x:v>整理照片影片</x:v>
      </x:c>
      <x:c r="H157" s="51" t="str">
        <x:v>活動後 1 週</x:v>
      </x:c>
      <x:c r="I157" s="55" t="str">
        <x:v>Staff</x:v>
      </x:c>
      <x:c r="J157" s="53" t="str"/>
      <x:c r="K157" s="58"/>
      <x:c r="L157" s="52" t="str">
        <x:v>依日期與場次命名、篩選、備份並提供客戶。</x:v>
      </x:c>
      <x:c r="M157" s="52" t="str">
        <x:v>照片／影片檔或交付連結</x:v>
      </x:c>
      <x:c r="N157" s="54" t="str"/>
      <x:c r="O157" s="56" t="str">
        <x:v>PM</x:v>
      </x:c>
      <x:c r="P157" s="57" t="str"/>
      <x:c r="Q157" s="52" t="str">
        <x:v>不適用時填寫原因，由 PM 確認後關閉</x:v>
      </x:c>
      <x:c r="R157" s="52" t="str"/>
    </x:row>
  </x:sheetData>
  <x:mergeCells>
    <x:mergeCell ref="A1:R1"/>
    <x:mergeCell ref="A2:R2"/>
  </x:mergeCells>
  <x:conditionalFormatting sqref="F5:F157">
    <x:cfRule type="containsText" dxfId="0" priority="1" operator="containsText" text="必做"/>
  </x:conditionalFormatting>
  <x:conditionalFormatting sqref="A5:A157">
    <x:cfRule type="containsText" dxfId="1" priority="2" operator="containsText" text="已完成"/>
  </x:conditionalFormatting>
  <x:pageMargins left="0.7" right="0.7" top="0.75" bottom="0.75" header="0.3" footer="0.3"/>
  <x:tableParts count="1">
    <x:tablePart xmlns:r="http://schemas.openxmlformats.org/officeDocument/2006/relationships" r:id="R6a53b02fa1a14a2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2" hidden="0" customWidth="1"/>
    <x:col min="3" max="3" width="34" hidden="0" customWidth="1"/>
    <x:col min="4" max="4" width="40" hidden="0" customWidth="1"/>
  </x:cols>
  <x:sheetData>
    <x:row r="1" ht="36" customHeight="1">
      <x:c r="A1" s="3" t="str">
        <x:v>資料來源與使用方式</x:v>
      </x:c>
      <x:c r="B1" s="3"/>
      <x:c r="C1" s="3"/>
      <x:c r="D1" s="3"/>
    </x:row>
    <x:row r="3">
      <x:c r="A3" s="17" t="str">
        <x:v>來源檔案</x:v>
      </x:c>
      <x:c r="B3" s="17" t="str">
        <x:v>參考內容</x:v>
      </x:c>
      <x:c r="C3" s="17" t="str">
        <x:v>套用方式</x:v>
      </x:c>
      <x:c r="D3" s="17" t="str">
        <x:v>備註</x:v>
      </x:c>
    </x:row>
    <x:row r="4">
      <x:c r="A4" s="36" t="str">
        <x:v>活動注意事項  20230103.xlsx</x:v>
      </x:c>
      <x:c r="B4" s="37" t="str">
        <x:v>工作項目確認</x:v>
      </x:c>
      <x:c r="C4" s="37" t="str">
        <x:v>擷取需求、講者、場地、設計、報名、媒體、餐飲與現場工作</x:v>
      </x:c>
      <x:c r="D4" s="38" t="str">
        <x:v>本次整理的主要來源</x:v>
      </x:c>
    </x:row>
    <x:row r="5">
      <x:c r="A5" s="39" t="str">
        <x:v>活動注意事項  20230103.xlsx</x:v>
      </x:c>
      <x:c r="B5" s="40" t="str">
        <x:v>工作項目工期</x:v>
      </x:c>
      <x:c r="C5" s="40" t="str">
        <x:v>比對工作名稱、類別與工期安排</x:v>
      </x:c>
      <x:c r="D5" s="41" t="str">
        <x:v>用於時間序與階段整理</x:v>
      </x:c>
    </x:row>
    <x:row r="6">
      <x:c r="A6" s="39" t="str">
        <x:v>活動注意事項  20230103.xlsx</x:v>
      </x:c>
      <x:c r="B6" s="40" t="str">
        <x:v>查核事項</x:v>
      </x:c>
      <x:c r="C6" s="40" t="str">
        <x:v>補充需求、場地、設計及應變查核標準</x:v>
      </x:c>
      <x:c r="D6" s="41" t="str">
        <x:v>相近查核內容併入完成標準</x:v>
      </x:c>
    </x:row>
    <x:row r="7">
      <x:c r="A7" s="42" t="str">
        <x:v>活動注意事項  20230103.xlsx</x:v>
      </x:c>
      <x:c r="B7" s="43" t="str">
        <x:v>注意事項及既有流程</x:v>
      </x:c>
      <x:c r="C7" s="43" t="str">
        <x:v>補充行前、活動日、撤場與結案事項</x:v>
      </x:c>
      <x:c r="D7" s="44" t="str">
        <x:v>同義項目合併，不逐字重複</x:v>
      </x:c>
    </x:row>
    <x:row r="9">
      <x:c r="A9" s="61" t="str">
        <x:v>時點說明：活動前／後週數皆以活動日為基準；「必做」原則不得略過，「條件式」不適用時須填寫原因並由 PM 確認。</x:v>
      </x:c>
      <x:c r="B9" s="61"/>
      <x:c r="C9" s="61"/>
      <x:c r="D9" s="61"/>
    </x:row>
  </x:sheetData>
  <x:mergeCells>
    <x:mergeCell ref="A1:D1"/>
    <x:mergeCell ref="A9:D9"/>
  </x:mergeCells>
  <x:pageMargins left="0.7" right="0.7" top="0.75" bottom="0.75" header="0.3" footer="0.3"/>
</x:worksheet>
</file>